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D:\MoD Run\Apr-26\14-Apr-26\"/>
    </mc:Choice>
  </mc:AlternateContent>
  <bookViews>
    <workbookView xWindow="0" yWindow="0" windowWidth="20490" windowHeight="7155" tabRatio="878" firstSheet="1" activeTab="4"/>
  </bookViews>
  <sheets>
    <sheet name="TOTAL MOD working excl biomass" sheetId="26" state="hidden" r:id="rId1"/>
    <sheet name="URS 4" sheetId="14" r:id="rId2"/>
    <sheet name="Excl URS 3 " sheetId="13" r:id="rId3"/>
    <sheet name=" Rate sheet  2" sheetId="15" r:id="rId4"/>
    <sheet name="rate sheet periphery 1" sheetId="19" r:id="rId5"/>
    <sheet name="TOTAL MOD working incl Biomass" sheetId="23" state="hidden" r:id="rId6"/>
    <sheet name="Excl URS incl biomass" sheetId="24" state="hidden" r:id="rId7"/>
    <sheet name="Comparison" sheetId="25" r:id="rId8"/>
    <sheet name="TOTAL MOD working (2)" sheetId="22" state="hidden" r:id="rId9"/>
    <sheet name="Incentive" sheetId="20" state="hidden" r:id="rId10"/>
    <sheet name="Incentive 5" sheetId="21" state="hidden" r:id="rId11"/>
    <sheet name="rate sheet working" sheetId="16" state="hidden" r:id="rId12"/>
    <sheet name="fixed cost" sheetId="18" state="hidden" r:id="rId13"/>
  </sheets>
  <definedNames>
    <definedName name="_xlnm._FilterDatabase" localSheetId="3" hidden="1">' Rate sheet  2'!$A$2:$I$2</definedName>
    <definedName name="_xlnm._FilterDatabase" localSheetId="7" hidden="1">Comparison!$A$4:$E$58</definedName>
    <definedName name="_xlnm._FilterDatabase" localSheetId="2" hidden="1">'Excl URS 3 '!$A$5:$N$61</definedName>
    <definedName name="_xlnm._FilterDatabase" localSheetId="6" hidden="1">'Excl URS incl biomass'!$A$5:$N$51</definedName>
    <definedName name="_xlnm._FilterDatabase" localSheetId="9" hidden="1">Incentive!$A$2:$K$33</definedName>
    <definedName name="_xlnm._FilterDatabase" localSheetId="10" hidden="1">'Incentive 5'!$A$2:$K$11</definedName>
    <definedName name="_xlnm._FilterDatabase" localSheetId="4" hidden="1">'rate sheet periphery 1'!$A$4:$G$60</definedName>
    <definedName name="_xlnm._FilterDatabase" localSheetId="8" hidden="1">'TOTAL MOD working (2)'!$A$4:$O$183</definedName>
    <definedName name="_xlnm._FilterDatabase" localSheetId="0" hidden="1">'TOTAL MOD working excl biomass'!$A$5:$U$207</definedName>
    <definedName name="_xlnm._FilterDatabase" localSheetId="5" hidden="1">'TOTAL MOD working incl Biomass'!$A$4:$O$185</definedName>
    <definedName name="_xlnm._FilterDatabase" localSheetId="1" hidden="1">'URS 4'!$A$5:$O$46</definedName>
    <definedName name="_xlnm.Print_Area" localSheetId="3">' Rate sheet  2'!$A$1:$H$75</definedName>
    <definedName name="_xlnm.Print_Area" localSheetId="7">Comparison!$A$2:$F$60</definedName>
    <definedName name="_xlnm.Print_Area" localSheetId="2">'Excl URS 3 '!$A$1:$N$126</definedName>
    <definedName name="_xlnm.Print_Area" localSheetId="6">'Excl URS incl biomass'!$A$1:$N$54</definedName>
    <definedName name="_xlnm.Print_Area" localSheetId="9">Incentive!$A$1:$M$17</definedName>
    <definedName name="_xlnm.Print_Area" localSheetId="10">'Incentive 5'!$A$1:$K$11</definedName>
    <definedName name="_xlnm.Print_Area" localSheetId="4">'rate sheet periphery 1'!$A$2:$G$165</definedName>
    <definedName name="_xlnm.Print_Area" localSheetId="11">'rate sheet working'!$A$1:$K$158</definedName>
    <definedName name="_xlnm.Print_Area" localSheetId="8">'TOTAL MOD working (2)'!$A$1:$S$192</definedName>
    <definedName name="_xlnm.Print_Area" localSheetId="0">'TOTAL MOD working excl biomass'!$A$1:$O$239</definedName>
    <definedName name="_xlnm.Print_Area" localSheetId="5">'TOTAL MOD working incl Biomass'!$A$1:$O$185</definedName>
    <definedName name="_xlnm.Print_Area" localSheetId="1">'URS 4'!$A$1:$M$57</definedName>
    <definedName name="_xlnm.Print_Titles" localSheetId="8">'TOTAL MOD working (2)'!$2:$4</definedName>
    <definedName name="_xlnm.Print_Titles" localSheetId="0">'TOTAL MOD working excl biomass'!$2:$4</definedName>
    <definedName name="_xlnm.Print_Titles" localSheetId="5">'TOTAL MOD working incl Biomass'!$2:$4</definedName>
  </definedNames>
  <calcPr calcId="162913"/>
</workbook>
</file>

<file path=xl/calcChain.xml><?xml version="1.0" encoding="utf-8"?>
<calcChain xmlns="http://schemas.openxmlformats.org/spreadsheetml/2006/main">
  <c r="B126" i="13" l="1"/>
  <c r="B124" i="13"/>
  <c r="L72" i="26" l="1"/>
  <c r="L21" i="26"/>
  <c r="C26" i="15" l="1"/>
  <c r="D21" i="15"/>
  <c r="C22" i="15"/>
  <c r="D22" i="15"/>
  <c r="C42" i="15"/>
  <c r="C24" i="15"/>
  <c r="C41" i="15"/>
  <c r="C27" i="15"/>
  <c r="D27" i="15"/>
  <c r="D25" i="15"/>
  <c r="C43" i="15"/>
  <c r="C20" i="15"/>
  <c r="C33" i="15"/>
  <c r="C36" i="15"/>
  <c r="C39" i="15"/>
  <c r="D39" i="15"/>
  <c r="D40" i="15"/>
  <c r="C38" i="15"/>
  <c r="C37" i="15"/>
  <c r="D37" i="15"/>
  <c r="C46" i="15"/>
  <c r="D46" i="15"/>
  <c r="C31" i="15"/>
  <c r="C32" i="15"/>
  <c r="D32" i="15"/>
  <c r="C48" i="15"/>
  <c r="D48" i="15"/>
  <c r="C29" i="15"/>
  <c r="D29" i="15"/>
  <c r="D34" i="15"/>
  <c r="D28" i="15"/>
  <c r="C51" i="15"/>
  <c r="D51" i="15"/>
  <c r="C44" i="15"/>
  <c r="D65" i="15"/>
  <c r="D30" i="15"/>
  <c r="C70" i="15"/>
  <c r="D70" i="15"/>
  <c r="C58" i="15"/>
  <c r="D58" i="15"/>
  <c r="C49" i="15"/>
  <c r="D49" i="15"/>
  <c r="D35" i="15"/>
  <c r="C55" i="15"/>
  <c r="D55" i="15"/>
  <c r="C54" i="15"/>
  <c r="D54" i="15"/>
  <c r="C50" i="15"/>
  <c r="D50" i="15"/>
  <c r="C45" i="15"/>
  <c r="D45" i="15"/>
  <c r="C57" i="15"/>
  <c r="D57" i="15"/>
  <c r="C60" i="15"/>
  <c r="D60" i="15"/>
  <c r="C63" i="15"/>
  <c r="C66" i="15"/>
  <c r="C56" i="15"/>
  <c r="D56" i="15"/>
  <c r="C64" i="15"/>
  <c r="C62" i="15"/>
  <c r="C61" i="15"/>
  <c r="D61" i="15"/>
  <c r="C71" i="15"/>
  <c r="C59" i="15"/>
  <c r="C72" i="15"/>
  <c r="C73" i="15"/>
  <c r="D73" i="15"/>
  <c r="C74" i="15"/>
  <c r="D74" i="15"/>
  <c r="C69" i="15"/>
  <c r="D69" i="15"/>
  <c r="C52" i="15"/>
  <c r="D52" i="15"/>
  <c r="C68" i="15"/>
  <c r="D68" i="15"/>
  <c r="C3" i="15"/>
  <c r="D3" i="15"/>
  <c r="C4" i="15"/>
  <c r="D4" i="15"/>
  <c r="C5" i="15"/>
  <c r="D5" i="15"/>
  <c r="C75" i="15"/>
  <c r="D75" i="15"/>
  <c r="C6" i="15"/>
  <c r="D6" i="15"/>
  <c r="C7" i="15"/>
  <c r="D7" i="15"/>
  <c r="C67" i="15"/>
  <c r="D67" i="15"/>
  <c r="C8" i="15"/>
  <c r="D8" i="15"/>
  <c r="C10" i="15"/>
  <c r="D10" i="15"/>
  <c r="C12" i="15"/>
  <c r="D12" i="15"/>
  <c r="C11" i="15"/>
  <c r="D11" i="15"/>
  <c r="C15" i="15"/>
  <c r="D15" i="15"/>
  <c r="C14" i="15"/>
  <c r="D14" i="15"/>
  <c r="C16" i="15"/>
  <c r="D16" i="15"/>
  <c r="C13" i="15"/>
  <c r="D13" i="15"/>
  <c r="C17" i="15"/>
  <c r="D17" i="15"/>
  <c r="C18" i="15"/>
  <c r="D18" i="15"/>
  <c r="C9" i="15"/>
  <c r="D9" i="15"/>
  <c r="C19" i="15"/>
  <c r="D19" i="15"/>
  <c r="C5" i="19" l="1"/>
  <c r="C8" i="19"/>
  <c r="D8" i="19"/>
  <c r="D7" i="19"/>
  <c r="C9" i="19"/>
  <c r="C11" i="19"/>
  <c r="C16" i="19"/>
  <c r="C10" i="19"/>
  <c r="C31" i="19"/>
  <c r="D31" i="19"/>
  <c r="C12" i="19"/>
  <c r="D14" i="19"/>
  <c r="C23" i="19"/>
  <c r="C13" i="19"/>
  <c r="D13" i="19"/>
  <c r="C17" i="19"/>
  <c r="D17" i="19"/>
  <c r="C24" i="19"/>
  <c r="D24" i="19"/>
  <c r="C19" i="19"/>
  <c r="D19" i="19"/>
  <c r="C27" i="19"/>
  <c r="D27" i="19"/>
  <c r="C22" i="19"/>
  <c r="D22" i="19"/>
  <c r="C15" i="19"/>
  <c r="D28" i="19"/>
  <c r="C30" i="19"/>
  <c r="D30" i="19"/>
  <c r="C29" i="19"/>
  <c r="C21" i="19"/>
  <c r="D35" i="19"/>
  <c r="D20" i="19"/>
  <c r="C40" i="19"/>
  <c r="D40" i="19"/>
  <c r="C37" i="19"/>
  <c r="D37" i="19"/>
  <c r="D34" i="19"/>
  <c r="C36" i="19"/>
  <c r="D36" i="19"/>
  <c r="C18" i="19"/>
  <c r="C39" i="19"/>
  <c r="D39" i="19"/>
  <c r="D33" i="19"/>
  <c r="C44" i="19"/>
  <c r="D32" i="19"/>
  <c r="C38" i="19"/>
  <c r="D38" i="19"/>
  <c r="C43" i="19"/>
  <c r="C42" i="19"/>
  <c r="D42" i="19"/>
  <c r="C25" i="19"/>
  <c r="D25" i="19"/>
  <c r="C47" i="19"/>
  <c r="C46" i="19"/>
  <c r="C51" i="19"/>
  <c r="C48" i="19"/>
  <c r="D48" i="19"/>
  <c r="C49" i="19"/>
  <c r="D49" i="19"/>
  <c r="C41" i="19"/>
  <c r="D41" i="19"/>
  <c r="C50" i="19"/>
  <c r="D50" i="19"/>
  <c r="C52" i="19"/>
  <c r="C59" i="19"/>
  <c r="D59" i="19"/>
  <c r="C53" i="19"/>
  <c r="C54" i="19"/>
  <c r="D54" i="19"/>
  <c r="C56" i="19"/>
  <c r="D56" i="19"/>
  <c r="C57" i="19"/>
  <c r="D57" i="19"/>
  <c r="C58" i="19"/>
  <c r="D58" i="19"/>
  <c r="C60" i="19"/>
  <c r="D60" i="19"/>
  <c r="E60" i="19" s="1"/>
  <c r="C55" i="19"/>
  <c r="D55" i="19"/>
  <c r="E8" i="13"/>
  <c r="G8" i="13" s="1"/>
  <c r="E57" i="13"/>
  <c r="G57" i="13" s="1"/>
  <c r="E31" i="13"/>
  <c r="G31" i="13" s="1"/>
  <c r="E37" i="13"/>
  <c r="G37" i="13" s="1"/>
  <c r="E10" i="13"/>
  <c r="G10" i="13" s="1"/>
  <c r="E17" i="13"/>
  <c r="G17" i="13" s="1"/>
  <c r="E34" i="13"/>
  <c r="G34" i="13" s="1"/>
  <c r="E35" i="13"/>
  <c r="G35" i="13" s="1"/>
  <c r="E29" i="13"/>
  <c r="G29" i="13" s="1"/>
  <c r="E49" i="13"/>
  <c r="G49" i="13" s="1"/>
  <c r="E51" i="13"/>
  <c r="G51" i="13" s="1"/>
  <c r="E25" i="13"/>
  <c r="G25" i="13" s="1"/>
  <c r="E59" i="13"/>
  <c r="G59" i="13" s="1"/>
  <c r="E42" i="13"/>
  <c r="G42" i="13" s="1"/>
  <c r="F11" i="21" l="1"/>
  <c r="F10" i="21"/>
  <c r="F9" i="21"/>
  <c r="F8" i="21"/>
  <c r="F7" i="21"/>
  <c r="F6" i="21"/>
  <c r="F5" i="21"/>
  <c r="F4" i="21"/>
  <c r="F3" i="21"/>
  <c r="L111" i="26" l="1"/>
  <c r="L112" i="26" s="1"/>
  <c r="L113" i="26" s="1"/>
  <c r="L107" i="26"/>
  <c r="L108" i="26" s="1"/>
  <c r="L109" i="26" s="1"/>
  <c r="L85" i="26"/>
  <c r="L86" i="26" s="1"/>
  <c r="L87" i="26" s="1"/>
  <c r="E3" i="21"/>
  <c r="D125" i="18" l="1"/>
  <c r="D127" i="18" s="1"/>
  <c r="D126" i="18"/>
  <c r="F126" i="18"/>
  <c r="E126" i="18"/>
  <c r="E127" i="18" s="1"/>
  <c r="T122" i="18"/>
  <c r="S122" i="18"/>
  <c r="E122" i="18"/>
  <c r="L122" i="18" s="1"/>
  <c r="P122" i="18" l="1"/>
  <c r="N122" i="18"/>
  <c r="G122" i="18"/>
  <c r="H122" i="18" s="1"/>
  <c r="K122" i="18"/>
  <c r="C23" i="15"/>
  <c r="N57" i="13"/>
  <c r="F56" i="19" s="1"/>
  <c r="N8" i="13"/>
  <c r="E12" i="13"/>
  <c r="G12" i="13" s="1"/>
  <c r="N12" i="13" s="1"/>
  <c r="E46" i="13"/>
  <c r="G46" i="13" s="1"/>
  <c r="N46" i="13" s="1"/>
  <c r="E19" i="13"/>
  <c r="G19" i="13" s="1"/>
  <c r="N19" i="13" s="1"/>
  <c r="F18" i="19" s="1"/>
  <c r="E38" i="13"/>
  <c r="G38" i="13" s="1"/>
  <c r="N38" i="13" s="1"/>
  <c r="E28" i="13"/>
  <c r="G28" i="13" s="1"/>
  <c r="N28" i="13" s="1"/>
  <c r="E52" i="13"/>
  <c r="G52" i="13" s="1"/>
  <c r="N52" i="13" s="1"/>
  <c r="E21" i="13"/>
  <c r="G21" i="13" s="1"/>
  <c r="N21" i="13" s="1"/>
  <c r="E44" i="13"/>
  <c r="G44" i="13" s="1"/>
  <c r="N44" i="13" s="1"/>
  <c r="F43" i="19" s="1"/>
  <c r="E55" i="13"/>
  <c r="G55" i="13" s="1"/>
  <c r="N55" i="13" s="1"/>
  <c r="E13" i="13"/>
  <c r="G13" i="13" s="1"/>
  <c r="N13" i="13" s="1"/>
  <c r="E6" i="13"/>
  <c r="G6" i="13" s="1"/>
  <c r="N6" i="13" s="1"/>
  <c r="E20" i="13"/>
  <c r="G20" i="13" s="1"/>
  <c r="N20" i="13" s="1"/>
  <c r="F19" i="19" s="1"/>
  <c r="F11" i="19" l="1"/>
  <c r="F20" i="19"/>
  <c r="F54" i="19"/>
  <c r="F51" i="19"/>
  <c r="F5" i="19"/>
  <c r="Q122" i="18"/>
  <c r="R122" i="18" s="1"/>
  <c r="N4" i="21"/>
  <c r="O4" i="21" s="1"/>
  <c r="N5" i="21"/>
  <c r="O5" i="21" s="1"/>
  <c r="N6" i="21"/>
  <c r="O6" i="21" s="1"/>
  <c r="N7" i="21"/>
  <c r="O7" i="21" s="1"/>
  <c r="N8" i="21"/>
  <c r="O8" i="21" s="1"/>
  <c r="N9" i="21"/>
  <c r="O9" i="21" s="1"/>
  <c r="N10" i="21"/>
  <c r="O10" i="21" s="1"/>
  <c r="N11" i="21"/>
  <c r="O11" i="21" s="1"/>
  <c r="N3" i="21"/>
  <c r="O3" i="21" s="1"/>
  <c r="B125" i="13" l="1"/>
  <c r="B122" i="13"/>
  <c r="B121" i="13"/>
  <c r="B120" i="13"/>
  <c r="B119" i="13"/>
  <c r="A223" i="26"/>
  <c r="A224" i="26" s="1"/>
  <c r="A225" i="26" s="1"/>
  <c r="A226" i="26" s="1"/>
  <c r="A227" i="26" s="1"/>
  <c r="A228" i="26" s="1"/>
  <c r="Q207" i="26"/>
  <c r="R207" i="26" s="1"/>
  <c r="E207" i="26"/>
  <c r="Q206" i="26"/>
  <c r="R206" i="26" s="1"/>
  <c r="E206" i="26"/>
  <c r="Q205" i="26"/>
  <c r="R205" i="26" s="1"/>
  <c r="E205" i="26"/>
  <c r="Q204" i="26"/>
  <c r="R204" i="26" s="1"/>
  <c r="E204" i="26"/>
  <c r="Q203" i="26"/>
  <c r="R203" i="26" s="1"/>
  <c r="E203" i="26"/>
  <c r="Q202" i="26"/>
  <c r="R202" i="26" s="1"/>
  <c r="E202" i="26"/>
  <c r="L201" i="26"/>
  <c r="I201" i="26"/>
  <c r="D201" i="26"/>
  <c r="C201" i="26"/>
  <c r="Q200" i="26"/>
  <c r="R200" i="26" s="1"/>
  <c r="E200" i="26"/>
  <c r="L199" i="26"/>
  <c r="D199" i="26"/>
  <c r="C199" i="26"/>
  <c r="Q198" i="26"/>
  <c r="R198" i="26" s="1"/>
  <c r="E198" i="26"/>
  <c r="Q197" i="26"/>
  <c r="R197" i="26" s="1"/>
  <c r="E197" i="26"/>
  <c r="L194" i="26"/>
  <c r="L195" i="26" s="1"/>
  <c r="L196" i="26" s="1"/>
  <c r="D194" i="26"/>
  <c r="D195" i="26" s="1"/>
  <c r="D196" i="26" s="1"/>
  <c r="C194" i="26"/>
  <c r="C195" i="26" s="1"/>
  <c r="C196" i="26" s="1"/>
  <c r="Q193" i="26"/>
  <c r="R193" i="26" s="1"/>
  <c r="E193" i="26"/>
  <c r="L192" i="26"/>
  <c r="D192" i="26"/>
  <c r="C192" i="26"/>
  <c r="Q192" i="26" s="1"/>
  <c r="R192" i="26" s="1"/>
  <c r="Q191" i="26"/>
  <c r="R191" i="26" s="1"/>
  <c r="E191" i="26"/>
  <c r="L190" i="26"/>
  <c r="D190" i="26"/>
  <c r="C190" i="26"/>
  <c r="Q190" i="26" s="1"/>
  <c r="R190" i="26" s="1"/>
  <c r="Q189" i="26"/>
  <c r="R189" i="26" s="1"/>
  <c r="E189" i="26"/>
  <c r="L186" i="26"/>
  <c r="L187" i="26" s="1"/>
  <c r="L188" i="26" s="1"/>
  <c r="D186" i="26"/>
  <c r="C186" i="26"/>
  <c r="C187" i="26" s="1"/>
  <c r="Q185" i="26"/>
  <c r="R185" i="26" s="1"/>
  <c r="E185" i="26"/>
  <c r="Q184" i="26"/>
  <c r="R184" i="26" s="1"/>
  <c r="E184" i="26"/>
  <c r="K181" i="26"/>
  <c r="K182" i="26" s="1"/>
  <c r="K183" i="26" s="1"/>
  <c r="D181" i="26"/>
  <c r="D182" i="26" s="1"/>
  <c r="D183" i="26" s="1"/>
  <c r="C181" i="26"/>
  <c r="C182" i="26" s="1"/>
  <c r="Q180" i="26"/>
  <c r="R180" i="26" s="1"/>
  <c r="E180" i="26"/>
  <c r="Q179" i="26"/>
  <c r="R179" i="26" s="1"/>
  <c r="E179" i="26"/>
  <c r="D176" i="26"/>
  <c r="D177" i="26" s="1"/>
  <c r="D178" i="26" s="1"/>
  <c r="C176" i="26"/>
  <c r="C177" i="26" s="1"/>
  <c r="Q177" i="26" s="1"/>
  <c r="R177" i="26" s="1"/>
  <c r="Q175" i="26"/>
  <c r="R175" i="26" s="1"/>
  <c r="E175" i="26"/>
  <c r="Q174" i="26"/>
  <c r="R174" i="26" s="1"/>
  <c r="E174" i="26"/>
  <c r="D171" i="26"/>
  <c r="D172" i="26" s="1"/>
  <c r="D173" i="26" s="1"/>
  <c r="C171" i="26"/>
  <c r="C172" i="26" s="1"/>
  <c r="Q170" i="26"/>
  <c r="R170" i="26" s="1"/>
  <c r="E170" i="26"/>
  <c r="C168" i="26"/>
  <c r="Q168" i="26" s="1"/>
  <c r="R168" i="26" s="1"/>
  <c r="D167" i="26"/>
  <c r="D168" i="26" s="1"/>
  <c r="D169" i="26" s="1"/>
  <c r="C167" i="26"/>
  <c r="Q167" i="26" s="1"/>
  <c r="R167" i="26" s="1"/>
  <c r="Q166" i="26"/>
  <c r="R166" i="26" s="1"/>
  <c r="E166" i="26"/>
  <c r="D163" i="26"/>
  <c r="D164" i="26" s="1"/>
  <c r="D165" i="26" s="1"/>
  <c r="C163" i="26"/>
  <c r="C164" i="26" s="1"/>
  <c r="Q164" i="26" s="1"/>
  <c r="R164" i="26" s="1"/>
  <c r="Q162" i="26"/>
  <c r="R162" i="26" s="1"/>
  <c r="E162" i="26"/>
  <c r="Q161" i="26"/>
  <c r="R161" i="26" s="1"/>
  <c r="E161" i="26"/>
  <c r="Q160" i="26"/>
  <c r="R160" i="26" s="1"/>
  <c r="E160" i="26"/>
  <c r="L159" i="26"/>
  <c r="D159" i="26"/>
  <c r="C159" i="26"/>
  <c r="Q159" i="26" s="1"/>
  <c r="R159" i="26" s="1"/>
  <c r="Q158" i="26"/>
  <c r="R158" i="26" s="1"/>
  <c r="E158" i="26"/>
  <c r="Q157" i="26"/>
  <c r="R157" i="26" s="1"/>
  <c r="E157" i="26"/>
  <c r="C156" i="26"/>
  <c r="Q155" i="26"/>
  <c r="R155" i="26" s="1"/>
  <c r="E155" i="26"/>
  <c r="Q154" i="26"/>
  <c r="R154" i="26" s="1"/>
  <c r="E154" i="26"/>
  <c r="Q153" i="26"/>
  <c r="R153" i="26" s="1"/>
  <c r="E153" i="26"/>
  <c r="Q152" i="26"/>
  <c r="R152" i="26" s="1"/>
  <c r="E152" i="26"/>
  <c r="M151" i="26"/>
  <c r="D151" i="26"/>
  <c r="C151" i="26"/>
  <c r="Q151" i="26" s="1"/>
  <c r="R151" i="26" s="1"/>
  <c r="Q150" i="26"/>
  <c r="R150" i="26" s="1"/>
  <c r="E150" i="26"/>
  <c r="Q149" i="26"/>
  <c r="R149" i="26" s="1"/>
  <c r="E149" i="26"/>
  <c r="Q148" i="26"/>
  <c r="R148" i="26" s="1"/>
  <c r="E148" i="26"/>
  <c r="D147" i="26"/>
  <c r="C147" i="26"/>
  <c r="Q147" i="26" s="1"/>
  <c r="R147" i="26" s="1"/>
  <c r="Q146" i="26"/>
  <c r="R146" i="26" s="1"/>
  <c r="E146" i="26"/>
  <c r="D145" i="26"/>
  <c r="C145" i="26"/>
  <c r="Q145" i="26" s="1"/>
  <c r="R145" i="26" s="1"/>
  <c r="Q144" i="26"/>
  <c r="R144" i="26" s="1"/>
  <c r="E144" i="26"/>
  <c r="D143" i="26"/>
  <c r="C143" i="26"/>
  <c r="Q142" i="26"/>
  <c r="R142" i="26" s="1"/>
  <c r="E142" i="26"/>
  <c r="D141" i="26"/>
  <c r="C141" i="26"/>
  <c r="Q141" i="26" s="1"/>
  <c r="R141" i="26" s="1"/>
  <c r="Q140" i="26"/>
  <c r="R140" i="26" s="1"/>
  <c r="E140" i="26"/>
  <c r="Q139" i="26"/>
  <c r="R139" i="26" s="1"/>
  <c r="E139" i="26"/>
  <c r="Q138" i="26"/>
  <c r="R138" i="26" s="1"/>
  <c r="E138" i="26"/>
  <c r="C137" i="26"/>
  <c r="Q137" i="26" s="1"/>
  <c r="R137" i="26" s="1"/>
  <c r="Q136" i="26"/>
  <c r="R136" i="26" s="1"/>
  <c r="E136" i="26"/>
  <c r="C135" i="26"/>
  <c r="Q135" i="26" s="1"/>
  <c r="R135" i="26" s="1"/>
  <c r="Q134" i="26"/>
  <c r="R134" i="26" s="1"/>
  <c r="E134" i="26"/>
  <c r="C133" i="26"/>
  <c r="Q133" i="26" s="1"/>
  <c r="R133" i="26" s="1"/>
  <c r="Q132" i="26"/>
  <c r="R132" i="26" s="1"/>
  <c r="E132" i="26"/>
  <c r="M131" i="26"/>
  <c r="C131" i="26"/>
  <c r="Q131" i="26" s="1"/>
  <c r="R131" i="26" s="1"/>
  <c r="Q130" i="26"/>
  <c r="R130" i="26" s="1"/>
  <c r="E130" i="26"/>
  <c r="C129" i="26"/>
  <c r="Q129" i="26" s="1"/>
  <c r="R129" i="26" s="1"/>
  <c r="Q128" i="26"/>
  <c r="R128" i="26" s="1"/>
  <c r="E128" i="26"/>
  <c r="C127" i="26"/>
  <c r="Q127" i="26" s="1"/>
  <c r="R127" i="26" s="1"/>
  <c r="Q126" i="26"/>
  <c r="R126" i="26" s="1"/>
  <c r="E126" i="26"/>
  <c r="C125" i="26"/>
  <c r="Q125" i="26" s="1"/>
  <c r="R125" i="26" s="1"/>
  <c r="Q124" i="26"/>
  <c r="R124" i="26" s="1"/>
  <c r="E124" i="26"/>
  <c r="M123" i="26"/>
  <c r="C123" i="26"/>
  <c r="Q123" i="26" s="1"/>
  <c r="R123" i="26" s="1"/>
  <c r="Q122" i="26"/>
  <c r="R122" i="26" s="1"/>
  <c r="E122" i="26"/>
  <c r="H120" i="26"/>
  <c r="H121" i="26" s="1"/>
  <c r="C120" i="26"/>
  <c r="C121" i="26" s="1"/>
  <c r="B120" i="26"/>
  <c r="B121" i="26" s="1"/>
  <c r="Q119" i="26"/>
  <c r="R119" i="26" s="1"/>
  <c r="D119" i="26"/>
  <c r="D120" i="26" s="1"/>
  <c r="D121" i="26" s="1"/>
  <c r="Q118" i="26"/>
  <c r="R118" i="26" s="1"/>
  <c r="E118" i="26"/>
  <c r="L115" i="26"/>
  <c r="L116" i="26" s="1"/>
  <c r="L117" i="26" s="1"/>
  <c r="D115" i="26"/>
  <c r="D116" i="26" s="1"/>
  <c r="D117" i="26" s="1"/>
  <c r="C115" i="26"/>
  <c r="C116" i="26" s="1"/>
  <c r="Q114" i="26"/>
  <c r="R114" i="26" s="1"/>
  <c r="E114" i="26"/>
  <c r="D111" i="26"/>
  <c r="D112" i="26" s="1"/>
  <c r="D113" i="26" s="1"/>
  <c r="C111" i="26"/>
  <c r="Q110" i="26"/>
  <c r="R110" i="26" s="1"/>
  <c r="E110" i="26"/>
  <c r="D107" i="26"/>
  <c r="D108" i="26" s="1"/>
  <c r="D109" i="26" s="1"/>
  <c r="C107" i="26"/>
  <c r="Q107" i="26" s="1"/>
  <c r="R107" i="26" s="1"/>
  <c r="A107" i="26"/>
  <c r="A108" i="26" s="1"/>
  <c r="A109" i="26" s="1"/>
  <c r="Q106" i="26"/>
  <c r="R106" i="26" s="1"/>
  <c r="E106" i="26"/>
  <c r="H105" i="26"/>
  <c r="D103" i="26"/>
  <c r="D104" i="26" s="1"/>
  <c r="D105" i="26" s="1"/>
  <c r="C103" i="26"/>
  <c r="Q102" i="26"/>
  <c r="R102" i="26" s="1"/>
  <c r="E102" i="26"/>
  <c r="Q101" i="26"/>
  <c r="R101" i="26" s="1"/>
  <c r="E101" i="26"/>
  <c r="D99" i="26"/>
  <c r="D100" i="26" s="1"/>
  <c r="C99" i="26"/>
  <c r="C100" i="26" s="1"/>
  <c r="Q98" i="26"/>
  <c r="R98" i="26" s="1"/>
  <c r="E98" i="26"/>
  <c r="G98" i="26" s="1"/>
  <c r="Q97" i="26"/>
  <c r="R97" i="26" s="1"/>
  <c r="E97" i="26"/>
  <c r="G97" i="26" s="1"/>
  <c r="Q96" i="26"/>
  <c r="R96" i="26" s="1"/>
  <c r="E96" i="26"/>
  <c r="G96" i="26" s="1"/>
  <c r="Q95" i="26"/>
  <c r="R95" i="26" s="1"/>
  <c r="E95" i="26"/>
  <c r="G95" i="26" s="1"/>
  <c r="Q94" i="26"/>
  <c r="R94" i="26" s="1"/>
  <c r="E94" i="26"/>
  <c r="L93" i="26"/>
  <c r="D93" i="26"/>
  <c r="C93" i="26"/>
  <c r="Q93" i="26" s="1"/>
  <c r="R93" i="26" s="1"/>
  <c r="Q92" i="26"/>
  <c r="R92" i="26" s="1"/>
  <c r="E92" i="26"/>
  <c r="B90" i="26"/>
  <c r="D89" i="26"/>
  <c r="D90" i="26" s="1"/>
  <c r="D91" i="26" s="1"/>
  <c r="C89" i="26"/>
  <c r="Q88" i="26"/>
  <c r="R88" i="26" s="1"/>
  <c r="E88" i="26"/>
  <c r="B86" i="26"/>
  <c r="B87" i="26" s="1"/>
  <c r="D85" i="26"/>
  <c r="D86" i="26" s="1"/>
  <c r="D87" i="26" s="1"/>
  <c r="C85" i="26"/>
  <c r="Q84" i="26"/>
  <c r="R84" i="26" s="1"/>
  <c r="E84" i="26"/>
  <c r="Q83" i="26"/>
  <c r="R83" i="26" s="1"/>
  <c r="E83" i="26"/>
  <c r="G83" i="26" s="1"/>
  <c r="C81" i="26"/>
  <c r="Q81" i="26" s="1"/>
  <c r="R81" i="26" s="1"/>
  <c r="Q80" i="26"/>
  <c r="R80" i="26" s="1"/>
  <c r="E80" i="26"/>
  <c r="G80" i="26" s="1"/>
  <c r="M79" i="26"/>
  <c r="L79" i="26"/>
  <c r="D79" i="26"/>
  <c r="C79" i="26"/>
  <c r="Q79" i="26" s="1"/>
  <c r="R79" i="26" s="1"/>
  <c r="Q78" i="26"/>
  <c r="R78" i="26" s="1"/>
  <c r="E78" i="26"/>
  <c r="Q77" i="26"/>
  <c r="R77" i="26" s="1"/>
  <c r="E77" i="26"/>
  <c r="G77" i="26" s="1"/>
  <c r="Q76" i="26"/>
  <c r="R76" i="26" s="1"/>
  <c r="I76" i="26"/>
  <c r="E76" i="26"/>
  <c r="G76" i="26" s="1"/>
  <c r="Q75" i="26"/>
  <c r="R75" i="26" s="1"/>
  <c r="E75" i="26"/>
  <c r="G75" i="26" s="1"/>
  <c r="Q74" i="26"/>
  <c r="R74" i="26" s="1"/>
  <c r="E74" i="26"/>
  <c r="G74" i="26" s="1"/>
  <c r="Q73" i="26"/>
  <c r="R73" i="26" s="1"/>
  <c r="E73" i="26"/>
  <c r="D72" i="26"/>
  <c r="C72" i="26"/>
  <c r="Q72" i="26" s="1"/>
  <c r="R72" i="26" s="1"/>
  <c r="Q71" i="26"/>
  <c r="R71" i="26" s="1"/>
  <c r="E71" i="26"/>
  <c r="D70" i="26"/>
  <c r="C70" i="26"/>
  <c r="Q70" i="26" s="1"/>
  <c r="R70" i="26" s="1"/>
  <c r="Q69" i="26"/>
  <c r="R69" i="26" s="1"/>
  <c r="E69" i="26"/>
  <c r="Q68" i="26"/>
  <c r="R68" i="26" s="1"/>
  <c r="E68" i="26"/>
  <c r="G68" i="26" s="1"/>
  <c r="L65" i="26"/>
  <c r="L66" i="26" s="1"/>
  <c r="L67" i="26" s="1"/>
  <c r="D65" i="26"/>
  <c r="D66" i="26" s="1"/>
  <c r="D67" i="26" s="1"/>
  <c r="C65" i="26"/>
  <c r="Q64" i="26"/>
  <c r="R64" i="26" s="1"/>
  <c r="E64" i="26"/>
  <c r="Q63" i="26"/>
  <c r="R63" i="26" s="1"/>
  <c r="E63" i="26"/>
  <c r="Q62" i="26"/>
  <c r="R62" i="26" s="1"/>
  <c r="E62" i="26"/>
  <c r="Q61" i="26"/>
  <c r="R61" i="26" s="1"/>
  <c r="E61" i="26"/>
  <c r="B59" i="26"/>
  <c r="B60" i="26" s="1"/>
  <c r="D58" i="26"/>
  <c r="D59" i="26" s="1"/>
  <c r="D60" i="26" s="1"/>
  <c r="C58" i="26"/>
  <c r="C59" i="26" s="1"/>
  <c r="Q57" i="26"/>
  <c r="R57" i="26" s="1"/>
  <c r="E57" i="26"/>
  <c r="B55" i="26"/>
  <c r="B56" i="26" s="1"/>
  <c r="D54" i="26"/>
  <c r="D55" i="26" s="1"/>
  <c r="D56" i="26" s="1"/>
  <c r="C54" i="26"/>
  <c r="C55" i="26" s="1"/>
  <c r="Q53" i="26"/>
  <c r="R53" i="26" s="1"/>
  <c r="E53" i="26"/>
  <c r="L52" i="26"/>
  <c r="H52" i="26"/>
  <c r="D52" i="26"/>
  <c r="C52" i="26"/>
  <c r="Q52" i="26" s="1"/>
  <c r="R52" i="26" s="1"/>
  <c r="Q51" i="26"/>
  <c r="R51" i="26" s="1"/>
  <c r="E51" i="26"/>
  <c r="D50" i="26"/>
  <c r="C50" i="26"/>
  <c r="Q50" i="26" s="1"/>
  <c r="R50" i="26" s="1"/>
  <c r="Q49" i="26"/>
  <c r="R49" i="26" s="1"/>
  <c r="E49" i="26"/>
  <c r="E50" i="26" s="1"/>
  <c r="D48" i="26"/>
  <c r="C48" i="26"/>
  <c r="Q48" i="26" s="1"/>
  <c r="R48" i="26" s="1"/>
  <c r="Q47" i="26"/>
  <c r="R47" i="26" s="1"/>
  <c r="E47" i="26"/>
  <c r="D46" i="26"/>
  <c r="C46" i="26"/>
  <c r="Q45" i="26"/>
  <c r="R45" i="26" s="1"/>
  <c r="E45" i="26"/>
  <c r="C44" i="26"/>
  <c r="E44" i="26" s="1"/>
  <c r="Q43" i="26"/>
  <c r="R43" i="26" s="1"/>
  <c r="E43" i="26"/>
  <c r="D42" i="26"/>
  <c r="C42" i="26"/>
  <c r="Q42" i="26" s="1"/>
  <c r="R42" i="26" s="1"/>
  <c r="Q41" i="26"/>
  <c r="R41" i="26" s="1"/>
  <c r="E41" i="26"/>
  <c r="D38" i="26"/>
  <c r="D39" i="26" s="1"/>
  <c r="D40" i="26" s="1"/>
  <c r="C38" i="26"/>
  <c r="Q38" i="26" s="1"/>
  <c r="R38" i="26" s="1"/>
  <c r="Q37" i="26"/>
  <c r="R37" i="26" s="1"/>
  <c r="E37" i="26"/>
  <c r="Q36" i="26"/>
  <c r="R36" i="26" s="1"/>
  <c r="E36" i="26"/>
  <c r="Q35" i="26"/>
  <c r="R35" i="26" s="1"/>
  <c r="E35" i="26"/>
  <c r="G35" i="26" s="1"/>
  <c r="Q34" i="26"/>
  <c r="R34" i="26" s="1"/>
  <c r="E34" i="26"/>
  <c r="G34" i="26" s="1"/>
  <c r="Q33" i="26"/>
  <c r="R33" i="26" s="1"/>
  <c r="E33" i="26"/>
  <c r="Q32" i="26"/>
  <c r="R32" i="26" s="1"/>
  <c r="I32" i="26"/>
  <c r="E32" i="26"/>
  <c r="G32" i="26" s="1"/>
  <c r="C31" i="26"/>
  <c r="Q30" i="26"/>
  <c r="R30" i="26" s="1"/>
  <c r="E30" i="26"/>
  <c r="G30" i="26" s="1"/>
  <c r="D29" i="26"/>
  <c r="C29" i="26"/>
  <c r="Q29" i="26" s="1"/>
  <c r="R29" i="26" s="1"/>
  <c r="Q28" i="26"/>
  <c r="R28" i="26" s="1"/>
  <c r="E28" i="26"/>
  <c r="D27" i="26"/>
  <c r="C27" i="26"/>
  <c r="Q27" i="26" s="1"/>
  <c r="R27" i="26" s="1"/>
  <c r="Q26" i="26"/>
  <c r="R26" i="26" s="1"/>
  <c r="E26" i="26"/>
  <c r="D25" i="26"/>
  <c r="C25" i="26"/>
  <c r="Q24" i="26"/>
  <c r="R24" i="26" s="1"/>
  <c r="E24" i="26"/>
  <c r="D23" i="26"/>
  <c r="C23" i="26"/>
  <c r="Q23" i="26" s="1"/>
  <c r="R23" i="26" s="1"/>
  <c r="Q22" i="26"/>
  <c r="R22" i="26" s="1"/>
  <c r="E22" i="26"/>
  <c r="H21" i="26"/>
  <c r="D21" i="26"/>
  <c r="C21" i="26"/>
  <c r="Q21" i="26" s="1"/>
  <c r="R21" i="26" s="1"/>
  <c r="A21" i="26"/>
  <c r="A22" i="26" s="1"/>
  <c r="A23" i="26" s="1"/>
  <c r="A24" i="26" s="1"/>
  <c r="A25" i="26" s="1"/>
  <c r="A26" i="26" s="1"/>
  <c r="A27" i="26" s="1"/>
  <c r="A28" i="26" s="1"/>
  <c r="A29" i="26" s="1"/>
  <c r="A30" i="26" s="1"/>
  <c r="A31" i="26" s="1"/>
  <c r="A32" i="26" s="1"/>
  <c r="A33" i="26" s="1"/>
  <c r="A34" i="26" s="1"/>
  <c r="A35" i="26" s="1"/>
  <c r="A36" i="26" s="1"/>
  <c r="A37" i="26" s="1"/>
  <c r="A38" i="26" s="1"/>
  <c r="Q20" i="26"/>
  <c r="R20" i="26" s="1"/>
  <c r="E20" i="26"/>
  <c r="Q19" i="26"/>
  <c r="R19" i="26" s="1"/>
  <c r="E19" i="26"/>
  <c r="Q18" i="26"/>
  <c r="R18" i="26" s="1"/>
  <c r="F18" i="26"/>
  <c r="F19" i="26" s="1"/>
  <c r="F20" i="26" s="1"/>
  <c r="E18" i="26"/>
  <c r="Q17" i="26"/>
  <c r="R17" i="26" s="1"/>
  <c r="E17" i="26"/>
  <c r="G17" i="26" s="1"/>
  <c r="Q16" i="26"/>
  <c r="R16" i="26" s="1"/>
  <c r="E16" i="26"/>
  <c r="G16" i="26" s="1"/>
  <c r="Q15" i="26"/>
  <c r="R15" i="26" s="1"/>
  <c r="E15" i="26"/>
  <c r="G15" i="26" s="1"/>
  <c r="Q14" i="26"/>
  <c r="R14" i="26" s="1"/>
  <c r="E14" i="26"/>
  <c r="G14" i="26" s="1"/>
  <c r="Q13" i="26"/>
  <c r="R13" i="26" s="1"/>
  <c r="E13" i="26"/>
  <c r="G13" i="26" s="1"/>
  <c r="Q12" i="26"/>
  <c r="R12" i="26" s="1"/>
  <c r="E12" i="26"/>
  <c r="G12" i="26" s="1"/>
  <c r="Q11" i="26"/>
  <c r="R11" i="26" s="1"/>
  <c r="E11" i="26"/>
  <c r="G11" i="26" s="1"/>
  <c r="A11" i="26"/>
  <c r="A12" i="26" s="1"/>
  <c r="A13" i="26" s="1"/>
  <c r="A14" i="26" s="1"/>
  <c r="Q10" i="26"/>
  <c r="R10" i="26" s="1"/>
  <c r="E10" i="26"/>
  <c r="G10" i="26" s="1"/>
  <c r="C8" i="26"/>
  <c r="Q7" i="26"/>
  <c r="R7" i="26" s="1"/>
  <c r="E7" i="26"/>
  <c r="G7" i="26" s="1"/>
  <c r="A7" i="26"/>
  <c r="Q6" i="26"/>
  <c r="R6" i="26" s="1"/>
  <c r="E6" i="26"/>
  <c r="G6" i="26" s="1"/>
  <c r="Q186" i="26" l="1"/>
  <c r="R186" i="26" s="1"/>
  <c r="E85" i="26"/>
  <c r="E89" i="26"/>
  <c r="E65" i="26"/>
  <c r="E111" i="26"/>
  <c r="E151" i="26"/>
  <c r="E46" i="26"/>
  <c r="O76" i="26"/>
  <c r="E25" i="26"/>
  <c r="E141" i="26"/>
  <c r="E129" i="26"/>
  <c r="E137" i="26"/>
  <c r="E135" i="26"/>
  <c r="E127" i="26"/>
  <c r="G18" i="26"/>
  <c r="E93" i="26"/>
  <c r="C108" i="26"/>
  <c r="C109" i="26" s="1"/>
  <c r="Q109" i="26" s="1"/>
  <c r="R109" i="26" s="1"/>
  <c r="E121" i="26"/>
  <c r="E133" i="26"/>
  <c r="E172" i="26"/>
  <c r="E107" i="26"/>
  <c r="E131" i="26"/>
  <c r="E147" i="26"/>
  <c r="O32" i="26"/>
  <c r="E201" i="26"/>
  <c r="Q89" i="26"/>
  <c r="R89" i="26" s="1"/>
  <c r="G20" i="26"/>
  <c r="C112" i="26"/>
  <c r="Q112" i="26" s="1"/>
  <c r="R112" i="26" s="1"/>
  <c r="Q115" i="26"/>
  <c r="R115" i="26" s="1"/>
  <c r="E119" i="26"/>
  <c r="E125" i="26"/>
  <c r="Q194" i="26"/>
  <c r="R194" i="26" s="1"/>
  <c r="Q201" i="26"/>
  <c r="R201" i="26" s="1"/>
  <c r="E21" i="26"/>
  <c r="Q99" i="26"/>
  <c r="R99" i="26" s="1"/>
  <c r="E123" i="26"/>
  <c r="E54" i="26"/>
  <c r="E70" i="26"/>
  <c r="C90" i="26"/>
  <c r="E90" i="26" s="1"/>
  <c r="Q120" i="26"/>
  <c r="R120" i="26" s="1"/>
  <c r="Q163" i="26"/>
  <c r="R163" i="26" s="1"/>
  <c r="C169" i="26"/>
  <c r="Q176" i="26"/>
  <c r="R176" i="26" s="1"/>
  <c r="Q181" i="26"/>
  <c r="R181" i="26" s="1"/>
  <c r="E52" i="26"/>
  <c r="E23" i="26"/>
  <c r="E29" i="26"/>
  <c r="E81" i="26"/>
  <c r="G81" i="26" s="1"/>
  <c r="E99" i="26"/>
  <c r="G99" i="26" s="1"/>
  <c r="E120" i="26"/>
  <c r="E143" i="26"/>
  <c r="E163" i="26"/>
  <c r="E176" i="26"/>
  <c r="E192" i="26"/>
  <c r="A41" i="26"/>
  <c r="A42" i="26" s="1"/>
  <c r="A43" i="26" s="1"/>
  <c r="A44" i="26" s="1"/>
  <c r="A45" i="26" s="1"/>
  <c r="A46" i="26" s="1"/>
  <c r="A39" i="26"/>
  <c r="A40" i="26" s="1"/>
  <c r="F21" i="26"/>
  <c r="F22" i="26" s="1"/>
  <c r="Q46" i="26"/>
  <c r="R46" i="26" s="1"/>
  <c r="C60" i="26"/>
  <c r="Q59" i="26"/>
  <c r="R59" i="26" s="1"/>
  <c r="E59" i="26"/>
  <c r="C9" i="26"/>
  <c r="Q8" i="26"/>
  <c r="R8" i="26" s="1"/>
  <c r="E8" i="26"/>
  <c r="G8" i="26" s="1"/>
  <c r="Q31" i="26"/>
  <c r="R31" i="26" s="1"/>
  <c r="E31" i="26"/>
  <c r="G31" i="26" s="1"/>
  <c r="C39" i="26"/>
  <c r="E38" i="26"/>
  <c r="C56" i="26"/>
  <c r="Q55" i="26"/>
  <c r="R55" i="26" s="1"/>
  <c r="G19" i="26"/>
  <c r="Q25" i="26"/>
  <c r="R25" i="26" s="1"/>
  <c r="E55" i="26"/>
  <c r="C66" i="26"/>
  <c r="Q116" i="26"/>
  <c r="R116" i="26" s="1"/>
  <c r="E116" i="26"/>
  <c r="C117" i="26"/>
  <c r="E27" i="26"/>
  <c r="E42" i="26"/>
  <c r="Q44" i="26"/>
  <c r="R44" i="26" s="1"/>
  <c r="E48" i="26"/>
  <c r="E58" i="26"/>
  <c r="Q65" i="26"/>
  <c r="R65" i="26" s="1"/>
  <c r="E79" i="26"/>
  <c r="C82" i="26"/>
  <c r="A110" i="26"/>
  <c r="A111" i="26" s="1"/>
  <c r="A112" i="26" s="1"/>
  <c r="Q54" i="26"/>
  <c r="R54" i="26" s="1"/>
  <c r="E72" i="26"/>
  <c r="C86" i="26"/>
  <c r="Q100" i="26"/>
  <c r="R100" i="26" s="1"/>
  <c r="E100" i="26"/>
  <c r="G100" i="26" s="1"/>
  <c r="C104" i="26"/>
  <c r="E103" i="26"/>
  <c r="E186" i="26"/>
  <c r="D187" i="26"/>
  <c r="D188" i="26" s="1"/>
  <c r="Q58" i="26"/>
  <c r="R58" i="26" s="1"/>
  <c r="Q85" i="26"/>
  <c r="R85" i="26" s="1"/>
  <c r="B91" i="26"/>
  <c r="Q103" i="26"/>
  <c r="R103" i="26" s="1"/>
  <c r="Q111" i="26"/>
  <c r="R111" i="26" s="1"/>
  <c r="Q156" i="26"/>
  <c r="R156" i="26" s="1"/>
  <c r="E156" i="26"/>
  <c r="E115" i="26"/>
  <c r="Q121" i="26"/>
  <c r="R121" i="26" s="1"/>
  <c r="Q143" i="26"/>
  <c r="R143" i="26" s="1"/>
  <c r="E108" i="26"/>
  <c r="E199" i="26"/>
  <c r="Q199" i="26"/>
  <c r="R199" i="26" s="1"/>
  <c r="E145" i="26"/>
  <c r="E171" i="26"/>
  <c r="Q171" i="26"/>
  <c r="R171" i="26" s="1"/>
  <c r="C178" i="26"/>
  <c r="E177" i="26"/>
  <c r="Q182" i="26"/>
  <c r="R182" i="26" s="1"/>
  <c r="E182" i="26"/>
  <c r="E168" i="26"/>
  <c r="Q172" i="26"/>
  <c r="R172" i="26" s="1"/>
  <c r="C183" i="26"/>
  <c r="E159" i="26"/>
  <c r="C165" i="26"/>
  <c r="Q165" i="26" s="1"/>
  <c r="R165" i="26" s="1"/>
  <c r="E164" i="26"/>
  <c r="C173" i="26"/>
  <c r="Q187" i="26"/>
  <c r="R187" i="26" s="1"/>
  <c r="C188" i="26"/>
  <c r="E190" i="26"/>
  <c r="Q195" i="26"/>
  <c r="R195" i="26" s="1"/>
  <c r="E195" i="26"/>
  <c r="E167" i="26"/>
  <c r="E181" i="26"/>
  <c r="E194" i="26"/>
  <c r="G21" i="26" l="1"/>
  <c r="E109" i="26"/>
  <c r="Q108" i="26"/>
  <c r="R108" i="26" s="1"/>
  <c r="Q90" i="26"/>
  <c r="R90" i="26" s="1"/>
  <c r="C91" i="26"/>
  <c r="E91" i="26" s="1"/>
  <c r="E112" i="26"/>
  <c r="C113" i="26"/>
  <c r="E113" i="26" s="1"/>
  <c r="Q169" i="26"/>
  <c r="R169" i="26" s="1"/>
  <c r="E169" i="26"/>
  <c r="E187" i="26"/>
  <c r="C87" i="26"/>
  <c r="Q86" i="26"/>
  <c r="R86" i="26" s="1"/>
  <c r="E86" i="26"/>
  <c r="E117" i="26"/>
  <c r="Q117" i="26"/>
  <c r="R117" i="26" s="1"/>
  <c r="C67" i="26"/>
  <c r="E66" i="26"/>
  <c r="Q66" i="26"/>
  <c r="R66" i="26" s="1"/>
  <c r="Q9" i="26"/>
  <c r="R9" i="26" s="1"/>
  <c r="E9" i="26"/>
  <c r="G9" i="26" s="1"/>
  <c r="E165" i="26"/>
  <c r="Q82" i="26"/>
  <c r="R82" i="26" s="1"/>
  <c r="E82" i="26"/>
  <c r="G82" i="26" s="1"/>
  <c r="Q113" i="26"/>
  <c r="R113" i="26" s="1"/>
  <c r="Q39" i="26"/>
  <c r="R39" i="26" s="1"/>
  <c r="C40" i="26"/>
  <c r="E39" i="26"/>
  <c r="Q196" i="26"/>
  <c r="R196" i="26" s="1"/>
  <c r="E196" i="26"/>
  <c r="Q104" i="26"/>
  <c r="R104" i="26" s="1"/>
  <c r="E104" i="26"/>
  <c r="C105" i="26"/>
  <c r="Q105" i="26" s="1"/>
  <c r="R105" i="26" s="1"/>
  <c r="A114" i="26"/>
  <c r="A115" i="26" s="1"/>
  <c r="A116" i="26" s="1"/>
  <c r="A113" i="26"/>
  <c r="E56" i="26"/>
  <c r="Q56" i="26"/>
  <c r="R56" i="26" s="1"/>
  <c r="E188" i="26"/>
  <c r="Q188" i="26"/>
  <c r="R188" i="26" s="1"/>
  <c r="Q173" i="26"/>
  <c r="R173" i="26" s="1"/>
  <c r="E173" i="26"/>
  <c r="Q183" i="26"/>
  <c r="R183" i="26" s="1"/>
  <c r="E183" i="26"/>
  <c r="E178" i="26"/>
  <c r="Q178" i="26"/>
  <c r="R178" i="26" s="1"/>
  <c r="Q91" i="26"/>
  <c r="R91" i="26" s="1"/>
  <c r="Q60" i="26"/>
  <c r="R60" i="26" s="1"/>
  <c r="E60" i="26"/>
  <c r="G22" i="26"/>
  <c r="F23" i="26"/>
  <c r="A47" i="26"/>
  <c r="A48" i="26" s="1"/>
  <c r="A51" i="26" s="1"/>
  <c r="A52" i="26" s="1"/>
  <c r="A53" i="26" s="1"/>
  <c r="A54" i="26" s="1"/>
  <c r="A55" i="26" s="1"/>
  <c r="A49" i="26"/>
  <c r="A50" i="26" s="1"/>
  <c r="E105" i="26" l="1"/>
  <c r="Q87" i="26"/>
  <c r="R87" i="26" s="1"/>
  <c r="E87" i="26"/>
  <c r="A56" i="26"/>
  <c r="A57" i="26"/>
  <c r="A58" i="26" s="1"/>
  <c r="A59" i="26" s="1"/>
  <c r="E40" i="26"/>
  <c r="Q40" i="26"/>
  <c r="R40" i="26" s="1"/>
  <c r="F24" i="26"/>
  <c r="G23" i="26"/>
  <c r="A118" i="26"/>
  <c r="A119" i="26" s="1"/>
  <c r="A120" i="26" s="1"/>
  <c r="A117" i="26"/>
  <c r="Q67" i="26"/>
  <c r="R67" i="26" s="1"/>
  <c r="E67" i="26"/>
  <c r="A122" i="26" l="1"/>
  <c r="A123" i="26" s="1"/>
  <c r="A126" i="26" s="1"/>
  <c r="A127" i="26" s="1"/>
  <c r="A128" i="26" s="1"/>
  <c r="A129" i="26" s="1"/>
  <c r="A130" i="26" s="1"/>
  <c r="A131" i="26" s="1"/>
  <c r="A132" i="26" s="1"/>
  <c r="A133" i="26" s="1"/>
  <c r="A134" i="26" s="1"/>
  <c r="A135" i="26" s="1"/>
  <c r="A121" i="26"/>
  <c r="A124" i="26" s="1"/>
  <c r="A125" i="26" s="1"/>
  <c r="F25" i="26"/>
  <c r="G24" i="26"/>
  <c r="A61" i="26"/>
  <c r="A60" i="26"/>
  <c r="A62" i="26" s="1"/>
  <c r="G25" i="26" l="1"/>
  <c r="F26" i="26"/>
  <c r="A64" i="26"/>
  <c r="A65" i="26" s="1"/>
  <c r="A63" i="26"/>
  <c r="A136" i="26"/>
  <c r="A137" i="26" s="1"/>
  <c r="A138" i="26"/>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4" i="26" s="1"/>
  <c r="A175" i="26" s="1"/>
  <c r="A176" i="26" s="1"/>
  <c r="A66" i="26" l="1"/>
  <c r="A67" i="26" s="1"/>
  <c r="A68" i="26"/>
  <c r="A69" i="26" s="1"/>
  <c r="A70" i="26" s="1"/>
  <c r="A71" i="26" s="1"/>
  <c r="A72" i="26" s="1"/>
  <c r="A73" i="26" s="1"/>
  <c r="A74" i="26" s="1"/>
  <c r="A75" i="26" s="1"/>
  <c r="A76" i="26" s="1"/>
  <c r="A77" i="26" s="1"/>
  <c r="A78" i="26" s="1"/>
  <c r="A79" i="26" s="1"/>
  <c r="A80" i="26" s="1"/>
  <c r="A81" i="26" s="1"/>
  <c r="A179" i="26"/>
  <c r="A180" i="26" s="1"/>
  <c r="A181" i="26" s="1"/>
  <c r="A177" i="26"/>
  <c r="A178" i="26" s="1"/>
  <c r="F27" i="26"/>
  <c r="G26" i="26"/>
  <c r="A182" i="26" l="1"/>
  <c r="A183" i="26" s="1"/>
  <c r="A184" i="26"/>
  <c r="A185" i="26" s="1"/>
  <c r="A186" i="26" s="1"/>
  <c r="A83" i="26"/>
  <c r="A84" i="26" s="1"/>
  <c r="A85" i="26" s="1"/>
  <c r="A86" i="26" s="1"/>
  <c r="A82" i="26"/>
  <c r="F28" i="26"/>
  <c r="G27" i="26"/>
  <c r="A87" i="26" l="1"/>
  <c r="A88" i="26"/>
  <c r="A89" i="26" s="1"/>
  <c r="A90" i="26" s="1"/>
  <c r="A189" i="26"/>
  <c r="A190" i="26" s="1"/>
  <c r="A191" i="26" s="1"/>
  <c r="A192" i="26" s="1"/>
  <c r="A193" i="26" s="1"/>
  <c r="A194" i="26" s="1"/>
  <c r="A187" i="26"/>
  <c r="A188" i="26" s="1"/>
  <c r="F29" i="26"/>
  <c r="G28" i="26"/>
  <c r="A195" i="26" l="1"/>
  <c r="A196" i="26" s="1"/>
  <c r="A197" i="26"/>
  <c r="A198" i="26" s="1"/>
  <c r="A199" i="26" s="1"/>
  <c r="A200" i="26" s="1"/>
  <c r="A201" i="26" s="1"/>
  <c r="A202" i="26" s="1"/>
  <c r="A203" i="26" s="1"/>
  <c r="A204" i="26" s="1"/>
  <c r="A205" i="26" s="1"/>
  <c r="A206" i="26" s="1"/>
  <c r="A207" i="26" s="1"/>
  <c r="A91" i="26"/>
  <c r="A92" i="26"/>
  <c r="A93" i="26" s="1"/>
  <c r="A94" i="26" s="1"/>
  <c r="A95" i="26" s="1"/>
  <c r="A96" i="26" s="1"/>
  <c r="A97" i="26" s="1"/>
  <c r="A98" i="26" s="1"/>
  <c r="A99" i="26" s="1"/>
  <c r="F33" i="26"/>
  <c r="G29" i="26"/>
  <c r="A101" i="26" l="1"/>
  <c r="A102" i="26" s="1"/>
  <c r="A103" i="26" s="1"/>
  <c r="A104" i="26" s="1"/>
  <c r="A100" i="26"/>
  <c r="F36" i="26"/>
  <c r="G33" i="26"/>
  <c r="O33" i="26" s="1"/>
  <c r="F37" i="26" l="1"/>
  <c r="G36" i="26"/>
  <c r="F38" i="26" l="1"/>
  <c r="G37" i="26"/>
  <c r="F39" i="26" l="1"/>
  <c r="F41" i="26"/>
  <c r="G38" i="26"/>
  <c r="F42" i="26" l="1"/>
  <c r="G41" i="26"/>
  <c r="F40" i="26"/>
  <c r="G40" i="26" s="1"/>
  <c r="G39" i="26"/>
  <c r="F43" i="26" l="1"/>
  <c r="G42" i="26"/>
  <c r="F44" i="26" l="1"/>
  <c r="G43" i="26"/>
  <c r="F45" i="26" l="1"/>
  <c r="G44" i="26"/>
  <c r="F46" i="26" l="1"/>
  <c r="G45" i="26"/>
  <c r="F47" i="26" l="1"/>
  <c r="G46" i="26"/>
  <c r="F48" i="26" l="1"/>
  <c r="G47" i="26"/>
  <c r="F49" i="26" l="1"/>
  <c r="G48" i="26"/>
  <c r="F50" i="26" l="1"/>
  <c r="G49" i="26"/>
  <c r="F51" i="26" l="1"/>
  <c r="G50" i="26"/>
  <c r="G51" i="26" l="1"/>
  <c r="F52" i="26"/>
  <c r="F53" i="26" l="1"/>
  <c r="G52" i="26"/>
  <c r="F54" i="26" l="1"/>
  <c r="G53" i="26"/>
  <c r="F55" i="26" l="1"/>
  <c r="G54" i="26"/>
  <c r="F56" i="26" l="1"/>
  <c r="G55" i="26"/>
  <c r="F57" i="26" l="1"/>
  <c r="G56" i="26"/>
  <c r="F58" i="26" l="1"/>
  <c r="G57" i="26"/>
  <c r="F59" i="26" l="1"/>
  <c r="G58" i="26"/>
  <c r="F60" i="26" l="1"/>
  <c r="G59" i="26"/>
  <c r="F61" i="26" l="1"/>
  <c r="G60" i="26"/>
  <c r="F64" i="26" l="1"/>
  <c r="F62" i="26"/>
  <c r="G61" i="26"/>
  <c r="F65" i="26" l="1"/>
  <c r="G64" i="26"/>
  <c r="F63" i="26"/>
  <c r="G63" i="26" s="1"/>
  <c r="G62" i="26"/>
  <c r="F66" i="26" l="1"/>
  <c r="F69" i="26"/>
  <c r="G65" i="26"/>
  <c r="F67" i="26" l="1"/>
  <c r="G67" i="26" s="1"/>
  <c r="G66" i="26"/>
  <c r="G69" i="26"/>
  <c r="F70" i="26"/>
  <c r="F71" i="26" l="1"/>
  <c r="G70" i="26"/>
  <c r="F72" i="26" l="1"/>
  <c r="G71" i="26"/>
  <c r="F73" i="26" l="1"/>
  <c r="G72" i="26"/>
  <c r="F78" i="26" l="1"/>
  <c r="G73" i="26"/>
  <c r="F79" i="26" l="1"/>
  <c r="G78" i="26"/>
  <c r="F84" i="26" l="1"/>
  <c r="G79" i="26"/>
  <c r="F85" i="26" l="1"/>
  <c r="G84" i="26"/>
  <c r="F86" i="26" l="1"/>
  <c r="G85" i="26"/>
  <c r="F87" i="26" l="1"/>
  <c r="G86" i="26"/>
  <c r="F88" i="26" l="1"/>
  <c r="G87" i="26"/>
  <c r="F89" i="26" l="1"/>
  <c r="G88" i="26"/>
  <c r="G89" i="26" l="1"/>
  <c r="F90" i="26"/>
  <c r="F91" i="26" l="1"/>
  <c r="G90" i="26"/>
  <c r="F92" i="26" l="1"/>
  <c r="G91" i="26"/>
  <c r="F93" i="26" l="1"/>
  <c r="G92" i="26"/>
  <c r="F94" i="26" l="1"/>
  <c r="G93" i="26"/>
  <c r="F101" i="26" l="1"/>
  <c r="G94" i="26"/>
  <c r="F102" i="26" l="1"/>
  <c r="G101" i="26"/>
  <c r="C17" i="16"/>
  <c r="C65" i="15" l="1"/>
  <c r="C32" i="19"/>
  <c r="F103" i="26"/>
  <c r="G102" i="26"/>
  <c r="F104" i="26" l="1"/>
  <c r="G103" i="26"/>
  <c r="F106" i="26" l="1"/>
  <c r="F105" i="26"/>
  <c r="G104" i="26"/>
  <c r="G105" i="26" l="1"/>
  <c r="F107" i="26"/>
  <c r="G106" i="26"/>
  <c r="F108" i="26" l="1"/>
  <c r="G107" i="26"/>
  <c r="E48" i="13"/>
  <c r="G48" i="13" s="1"/>
  <c r="N48" i="13" s="1"/>
  <c r="N17" i="13"/>
  <c r="F109" i="26" l="1"/>
  <c r="G108" i="26"/>
  <c r="E157" i="16"/>
  <c r="F29" i="15" s="1"/>
  <c r="E156" i="16"/>
  <c r="F35" i="15" s="1"/>
  <c r="C156" i="16"/>
  <c r="C35" i="15" l="1"/>
  <c r="C35" i="19"/>
  <c r="F110" i="26"/>
  <c r="G109" i="26"/>
  <c r="F111" i="26" l="1"/>
  <c r="G110" i="26"/>
  <c r="F112" i="26" l="1"/>
  <c r="G111" i="26"/>
  <c r="F113" i="26" l="1"/>
  <c r="G112" i="26"/>
  <c r="F114" i="26" l="1"/>
  <c r="G113" i="26"/>
  <c r="E110" i="18"/>
  <c r="G110" i="18" s="1"/>
  <c r="H110" i="18" s="1"/>
  <c r="M201" i="26" s="1"/>
  <c r="F115" i="26" l="1"/>
  <c r="G114" i="26"/>
  <c r="C30" i="18"/>
  <c r="C35" i="18"/>
  <c r="C31" i="18"/>
  <c r="C62" i="18"/>
  <c r="F116" i="26" l="1"/>
  <c r="G115" i="26"/>
  <c r="F117" i="26" l="1"/>
  <c r="G116" i="26"/>
  <c r="C154" i="16"/>
  <c r="C153" i="16"/>
  <c r="E26" i="13"/>
  <c r="G26" i="13" s="1"/>
  <c r="E24" i="13"/>
  <c r="G24" i="13" s="1"/>
  <c r="E22" i="13"/>
  <c r="G22" i="13" s="1"/>
  <c r="E11" i="13"/>
  <c r="G11" i="13" s="1"/>
  <c r="E50" i="13"/>
  <c r="G50" i="13" s="1"/>
  <c r="E36" i="13"/>
  <c r="G36" i="13" s="1"/>
  <c r="E56" i="13"/>
  <c r="G56" i="13" s="1"/>
  <c r="E23" i="13"/>
  <c r="G23" i="13" s="1"/>
  <c r="E27" i="13"/>
  <c r="G27" i="13" s="1"/>
  <c r="C30" i="15" l="1"/>
  <c r="C34" i="19"/>
  <c r="C28" i="15"/>
  <c r="C33" i="19"/>
  <c r="F118" i="26"/>
  <c r="G117" i="26"/>
  <c r="F119" i="26" l="1"/>
  <c r="G118" i="26"/>
  <c r="F120" i="26" l="1"/>
  <c r="G119" i="26"/>
  <c r="B164" i="19"/>
  <c r="B165" i="19"/>
  <c r="E18" i="13"/>
  <c r="G18" i="13" s="1"/>
  <c r="N18" i="13" s="1"/>
  <c r="E30" i="13"/>
  <c r="G30" i="13" s="1"/>
  <c r="N30" i="13" s="1"/>
  <c r="F29" i="19" s="1"/>
  <c r="E39" i="13"/>
  <c r="G39" i="13" s="1"/>
  <c r="N39" i="13" s="1"/>
  <c r="F38" i="19" s="1"/>
  <c r="N34" i="13"/>
  <c r="F33" i="19" s="1"/>
  <c r="E49" i="14"/>
  <c r="G49" i="14" s="1"/>
  <c r="M49" i="14" s="1"/>
  <c r="E44" i="14"/>
  <c r="G44" i="14" s="1"/>
  <c r="M44" i="14" s="1"/>
  <c r="F121" i="26" l="1"/>
  <c r="G120" i="26"/>
  <c r="D10" i="21"/>
  <c r="C10" i="21"/>
  <c r="G10" i="21" s="1"/>
  <c r="C109" i="18"/>
  <c r="E53" i="16"/>
  <c r="E54" i="16"/>
  <c r="E56" i="16"/>
  <c r="E58" i="16"/>
  <c r="F75" i="15" s="1"/>
  <c r="E121" i="16"/>
  <c r="F64" i="15" s="1"/>
  <c r="E125" i="16"/>
  <c r="F62" i="15" s="1"/>
  <c r="E129" i="16"/>
  <c r="E130" i="16"/>
  <c r="E131" i="16"/>
  <c r="E132" i="16"/>
  <c r="E133" i="16"/>
  <c r="E134" i="16"/>
  <c r="E135" i="16"/>
  <c r="E136" i="16"/>
  <c r="E137" i="16"/>
  <c r="E138" i="16"/>
  <c r="E139" i="16"/>
  <c r="F23" i="15" s="1"/>
  <c r="E140" i="16"/>
  <c r="E141" i="16"/>
  <c r="E142" i="16"/>
  <c r="E143" i="16"/>
  <c r="E145" i="16"/>
  <c r="E146" i="16"/>
  <c r="E152" i="16"/>
  <c r="F53" i="15" s="1"/>
  <c r="E153" i="16"/>
  <c r="F30" i="15" s="1"/>
  <c r="E154" i="16"/>
  <c r="F28" i="15" s="1"/>
  <c r="E155" i="16"/>
  <c r="F34" i="15" s="1"/>
  <c r="E158" i="16"/>
  <c r="F32" i="15" s="1"/>
  <c r="E17" i="16"/>
  <c r="F65" i="15" s="1"/>
  <c r="E24" i="16"/>
  <c r="E25" i="16"/>
  <c r="D151" i="16"/>
  <c r="E109" i="18"/>
  <c r="G109" i="18" s="1"/>
  <c r="H109" i="18" s="1"/>
  <c r="M199" i="26" s="1"/>
  <c r="T108" i="18"/>
  <c r="O108" i="18"/>
  <c r="M108" i="18"/>
  <c r="R108" i="18" s="1"/>
  <c r="L108" i="18"/>
  <c r="K108" i="18"/>
  <c r="C152" i="16"/>
  <c r="C155" i="16"/>
  <c r="C34" i="15" l="1"/>
  <c r="C28" i="19"/>
  <c r="C53" i="15"/>
  <c r="C45" i="19"/>
  <c r="D152" i="16"/>
  <c r="D20" i="15"/>
  <c r="D15" i="19"/>
  <c r="I78" i="26"/>
  <c r="O78" i="26" s="1"/>
  <c r="I79" i="26"/>
  <c r="O79" i="26" s="1"/>
  <c r="F122" i="26"/>
  <c r="F124" i="26"/>
  <c r="G121" i="26"/>
  <c r="N108" i="18"/>
  <c r="H10" i="21"/>
  <c r="I10" i="21"/>
  <c r="J10" i="21"/>
  <c r="K10" i="21" s="1"/>
  <c r="E151" i="16"/>
  <c r="F20" i="15" s="1"/>
  <c r="P108" i="18"/>
  <c r="Q108" i="18"/>
  <c r="D53" i="15" l="1"/>
  <c r="D45" i="19"/>
  <c r="F125" i="26"/>
  <c r="G125" i="26" s="1"/>
  <c r="G124" i="26"/>
  <c r="F123" i="26"/>
  <c r="G122" i="26"/>
  <c r="D148" i="16"/>
  <c r="G77" i="16"/>
  <c r="K77" i="16" s="1"/>
  <c r="K31" i="16"/>
  <c r="J31" i="16"/>
  <c r="I31" i="16"/>
  <c r="H31" i="16"/>
  <c r="G31" i="16"/>
  <c r="F31" i="16"/>
  <c r="N24" i="13"/>
  <c r="F23" i="19" s="1"/>
  <c r="G58" i="15" s="1"/>
  <c r="N56" i="13"/>
  <c r="F55" i="19" s="1"/>
  <c r="E47" i="13"/>
  <c r="G47" i="13" s="1"/>
  <c r="N25" i="13"/>
  <c r="E32" i="13"/>
  <c r="G32" i="13" s="1"/>
  <c r="N32" i="13" s="1"/>
  <c r="F31" i="19" s="1"/>
  <c r="E41" i="13"/>
  <c r="G41" i="13" s="1"/>
  <c r="N41" i="13" s="1"/>
  <c r="F40" i="19" s="1"/>
  <c r="N10" i="13"/>
  <c r="E58" i="13"/>
  <c r="G58" i="13" s="1"/>
  <c r="N58" i="13" s="1"/>
  <c r="F57" i="19" s="1"/>
  <c r="E16" i="13"/>
  <c r="G16" i="13" s="1"/>
  <c r="N16" i="13" s="1"/>
  <c r="F15" i="19" s="1"/>
  <c r="E60" i="13"/>
  <c r="G60" i="13" s="1"/>
  <c r="N60" i="13" s="1"/>
  <c r="F59" i="19" s="1"/>
  <c r="E15" i="13"/>
  <c r="G15" i="13" s="1"/>
  <c r="N15" i="13" s="1"/>
  <c r="F14" i="19" s="1"/>
  <c r="E33" i="13"/>
  <c r="G33" i="13" s="1"/>
  <c r="N33" i="13" s="1"/>
  <c r="F32" i="19" s="1"/>
  <c r="E43" i="13"/>
  <c r="G43" i="13" s="1"/>
  <c r="N43" i="13" s="1"/>
  <c r="E61" i="13"/>
  <c r="G61" i="13" s="1"/>
  <c r="N61" i="13" s="1"/>
  <c r="E7" i="13"/>
  <c r="G7" i="13" s="1"/>
  <c r="N7" i="13" s="1"/>
  <c r="D33" i="15" l="1"/>
  <c r="D16" i="19"/>
  <c r="G56" i="15"/>
  <c r="F16" i="19"/>
  <c r="F42" i="19"/>
  <c r="F9" i="19"/>
  <c r="F12" i="19"/>
  <c r="F30" i="19"/>
  <c r="AC52" i="13"/>
  <c r="AC55" i="13"/>
  <c r="AC48" i="13"/>
  <c r="AA52" i="13"/>
  <c r="AA55" i="13"/>
  <c r="F126" i="26"/>
  <c r="G123" i="26"/>
  <c r="AA48" i="13"/>
  <c r="N31" i="13"/>
  <c r="N47" i="13"/>
  <c r="F60" i="19" l="1"/>
  <c r="F127" i="26"/>
  <c r="G126" i="26"/>
  <c r="F128" i="26" l="1"/>
  <c r="G127" i="26"/>
  <c r="B160" i="19"/>
  <c r="B161" i="19"/>
  <c r="B162" i="19"/>
  <c r="B163" i="19"/>
  <c r="F129" i="26" l="1"/>
  <c r="G128" i="26"/>
  <c r="C6" i="19"/>
  <c r="F130" i="26" l="1"/>
  <c r="G129" i="26"/>
  <c r="C57" i="18"/>
  <c r="C58" i="18"/>
  <c r="F131" i="26" l="1"/>
  <c r="G130" i="26"/>
  <c r="B109" i="19"/>
  <c r="C109" i="19" s="1"/>
  <c r="B110" i="19"/>
  <c r="C110" i="19" s="1"/>
  <c r="E112" i="13"/>
  <c r="G112" i="13" s="1"/>
  <c r="K112" i="13" s="1"/>
  <c r="F132" i="26" l="1"/>
  <c r="G131" i="26"/>
  <c r="D109" i="19"/>
  <c r="D110" i="19"/>
  <c r="E110" i="19" s="1"/>
  <c r="E89" i="18"/>
  <c r="G89" i="18" s="1"/>
  <c r="H89" i="18" s="1"/>
  <c r="M159" i="26" s="1"/>
  <c r="T107" i="18"/>
  <c r="T106" i="18"/>
  <c r="T105" i="18"/>
  <c r="T104" i="18"/>
  <c r="T103" i="18"/>
  <c r="T102" i="18"/>
  <c r="T99" i="18"/>
  <c r="T98" i="18"/>
  <c r="T97" i="18"/>
  <c r="T96" i="18"/>
  <c r="T95" i="18"/>
  <c r="T94" i="18"/>
  <c r="T93" i="18"/>
  <c r="T92" i="18"/>
  <c r="T91" i="18"/>
  <c r="T90" i="18"/>
  <c r="T89" i="18"/>
  <c r="T88" i="18"/>
  <c r="T87" i="18"/>
  <c r="T86" i="18"/>
  <c r="T85" i="18"/>
  <c r="T84" i="18"/>
  <c r="T83" i="18"/>
  <c r="T82" i="18"/>
  <c r="T81" i="18"/>
  <c r="T80" i="18"/>
  <c r="T76" i="18"/>
  <c r="T75" i="18"/>
  <c r="T74" i="18"/>
  <c r="T70" i="18"/>
  <c r="T66" i="18"/>
  <c r="T65" i="18"/>
  <c r="T64" i="18"/>
  <c r="T63" i="18"/>
  <c r="T62" i="18"/>
  <c r="T61" i="18"/>
  <c r="T60" i="18"/>
  <c r="T58" i="18"/>
  <c r="T57" i="18"/>
  <c r="T56" i="18"/>
  <c r="T55" i="18"/>
  <c r="T54" i="18"/>
  <c r="T53" i="18"/>
  <c r="T52" i="18"/>
  <c r="T51" i="18"/>
  <c r="T50" i="18"/>
  <c r="T49" i="18"/>
  <c r="T48" i="18"/>
  <c r="T47" i="18"/>
  <c r="T46" i="18"/>
  <c r="T45" i="18"/>
  <c r="T44" i="18"/>
  <c r="T42" i="18"/>
  <c r="T41" i="18"/>
  <c r="T40" i="18"/>
  <c r="T39" i="18"/>
  <c r="T38" i="18"/>
  <c r="T37" i="18"/>
  <c r="T35" i="18"/>
  <c r="T34" i="18"/>
  <c r="T32" i="18"/>
  <c r="T29" i="18"/>
  <c r="T28" i="18"/>
  <c r="T27" i="18"/>
  <c r="T25" i="18"/>
  <c r="T24" i="18"/>
  <c r="T23" i="18"/>
  <c r="T19" i="18"/>
  <c r="T18" i="18"/>
  <c r="T13" i="18"/>
  <c r="T11" i="18"/>
  <c r="T10" i="18"/>
  <c r="T9" i="18"/>
  <c r="T8" i="18"/>
  <c r="T7" i="18"/>
  <c r="T6" i="18"/>
  <c r="T5" i="18"/>
  <c r="T4" i="18"/>
  <c r="F133" i="26" l="1"/>
  <c r="G132" i="26"/>
  <c r="E144" i="16"/>
  <c r="F42" i="15" s="1"/>
  <c r="E109" i="19"/>
  <c r="E97" i="18"/>
  <c r="E79" i="18"/>
  <c r="G79" i="18" s="1"/>
  <c r="E78" i="18"/>
  <c r="G78" i="18" s="1"/>
  <c r="E77" i="18"/>
  <c r="G77" i="18" s="1"/>
  <c r="G97" i="18"/>
  <c r="H97" i="18" s="1"/>
  <c r="M176" i="26" s="1"/>
  <c r="G96" i="18"/>
  <c r="G82" i="18"/>
  <c r="G73" i="18"/>
  <c r="G72" i="18"/>
  <c r="G71" i="18"/>
  <c r="G70" i="18"/>
  <c r="G69" i="18"/>
  <c r="G68" i="18"/>
  <c r="G67" i="18"/>
  <c r="E95" i="18"/>
  <c r="G95" i="18" s="1"/>
  <c r="H95" i="18" s="1"/>
  <c r="M171" i="26" s="1"/>
  <c r="E94" i="18"/>
  <c r="G94" i="18" s="1"/>
  <c r="H94" i="18" s="1"/>
  <c r="M167" i="26" s="1"/>
  <c r="E93" i="18"/>
  <c r="G93" i="18" s="1"/>
  <c r="H93" i="18" s="1"/>
  <c r="M163" i="26" s="1"/>
  <c r="E102" i="18"/>
  <c r="G102" i="18" s="1"/>
  <c r="H102" i="18" s="1"/>
  <c r="M192" i="26" s="1"/>
  <c r="D101" i="18"/>
  <c r="T101" i="18" s="1"/>
  <c r="D100" i="18"/>
  <c r="T100" i="18" s="1"/>
  <c r="C67" i="18"/>
  <c r="T67" i="18" s="1"/>
  <c r="F134" i="26" l="1"/>
  <c r="G133" i="26"/>
  <c r="E100" i="16"/>
  <c r="F71" i="15" s="1"/>
  <c r="E109" i="16"/>
  <c r="F63" i="15" s="1"/>
  <c r="E112" i="16"/>
  <c r="F41" i="15" s="1"/>
  <c r="E103" i="16"/>
  <c r="F72" i="15" s="1"/>
  <c r="E106" i="16"/>
  <c r="F59" i="15" s="1"/>
  <c r="E100" i="18"/>
  <c r="G100" i="18" s="1"/>
  <c r="H100" i="18" s="1"/>
  <c r="M186" i="26" s="1"/>
  <c r="C68" i="18"/>
  <c r="C69" i="18" s="1"/>
  <c r="T69" i="18" s="1"/>
  <c r="E101" i="18"/>
  <c r="G101" i="18" s="1"/>
  <c r="H101" i="18" s="1"/>
  <c r="M190" i="26" s="1"/>
  <c r="E7" i="24"/>
  <c r="E8" i="24"/>
  <c r="E9" i="24"/>
  <c r="E10" i="24"/>
  <c r="E11" i="24"/>
  <c r="E12" i="24"/>
  <c r="E13" i="24"/>
  <c r="E14" i="24"/>
  <c r="E15" i="24"/>
  <c r="E16" i="24"/>
  <c r="E17" i="24"/>
  <c r="E18" i="24"/>
  <c r="E19" i="24"/>
  <c r="E20" i="24"/>
  <c r="E21" i="24"/>
  <c r="E22" i="24"/>
  <c r="E23" i="24"/>
  <c r="E24" i="24"/>
  <c r="E25" i="24"/>
  <c r="E26" i="24"/>
  <c r="E27" i="24"/>
  <c r="E28" i="24"/>
  <c r="E29" i="24"/>
  <c r="E30" i="24"/>
  <c r="E31" i="24"/>
  <c r="E32" i="24"/>
  <c r="E33" i="24"/>
  <c r="E34" i="24"/>
  <c r="E35" i="24"/>
  <c r="E36" i="24"/>
  <c r="E37" i="24"/>
  <c r="E38" i="24"/>
  <c r="E39" i="24"/>
  <c r="E40" i="24"/>
  <c r="E41" i="24"/>
  <c r="E42" i="24"/>
  <c r="E43" i="24"/>
  <c r="E44" i="24"/>
  <c r="E45" i="24"/>
  <c r="E46" i="24"/>
  <c r="E47" i="24"/>
  <c r="E48" i="24"/>
  <c r="E49" i="24"/>
  <c r="E50" i="24"/>
  <c r="E51" i="24"/>
  <c r="E52" i="24"/>
  <c r="E53" i="24"/>
  <c r="E54" i="24"/>
  <c r="E6" i="24"/>
  <c r="E185" i="23"/>
  <c r="D184" i="23"/>
  <c r="C184" i="23"/>
  <c r="E184" i="23" s="1"/>
  <c r="E183" i="23"/>
  <c r="M182" i="23"/>
  <c r="D182" i="23"/>
  <c r="C182" i="23"/>
  <c r="E181" i="23"/>
  <c r="M180" i="23"/>
  <c r="D180" i="23"/>
  <c r="C180" i="23"/>
  <c r="E180" i="23" s="1"/>
  <c r="E179" i="23"/>
  <c r="D178" i="23"/>
  <c r="C178" i="23"/>
  <c r="E177" i="23"/>
  <c r="E176" i="23"/>
  <c r="K175" i="23"/>
  <c r="D175" i="23"/>
  <c r="C175" i="23"/>
  <c r="E175" i="23" s="1"/>
  <c r="E174" i="23"/>
  <c r="E173" i="23"/>
  <c r="M172" i="23"/>
  <c r="D172" i="23"/>
  <c r="C172" i="23"/>
  <c r="E171" i="23"/>
  <c r="E170" i="23"/>
  <c r="M167" i="23"/>
  <c r="D167" i="23"/>
  <c r="D168" i="23" s="1"/>
  <c r="D169" i="23" s="1"/>
  <c r="C167" i="23"/>
  <c r="E167" i="23" s="1"/>
  <c r="E166" i="23"/>
  <c r="C165" i="23"/>
  <c r="C164" i="23"/>
  <c r="M163" i="23"/>
  <c r="D163" i="23"/>
  <c r="D164" i="23" s="1"/>
  <c r="D165" i="23" s="1"/>
  <c r="C163" i="23"/>
  <c r="E162" i="23"/>
  <c r="M159" i="23"/>
  <c r="D159" i="23"/>
  <c r="D160" i="23" s="1"/>
  <c r="D161" i="23" s="1"/>
  <c r="C159" i="23"/>
  <c r="E158" i="23"/>
  <c r="E157" i="23"/>
  <c r="E156" i="23"/>
  <c r="M155" i="23"/>
  <c r="D155" i="23"/>
  <c r="C155" i="23"/>
  <c r="E154" i="23"/>
  <c r="E153" i="23"/>
  <c r="C152" i="23"/>
  <c r="E152" i="23" s="1"/>
  <c r="E151" i="23"/>
  <c r="E150" i="23"/>
  <c r="E149" i="23"/>
  <c r="E148" i="23"/>
  <c r="M147" i="23"/>
  <c r="D147" i="23"/>
  <c r="C147" i="23"/>
  <c r="E146" i="23"/>
  <c r="E145" i="23"/>
  <c r="E144" i="23"/>
  <c r="D143" i="23"/>
  <c r="C143" i="23"/>
  <c r="E142" i="23"/>
  <c r="E141" i="23"/>
  <c r="D141" i="23"/>
  <c r="C141" i="23"/>
  <c r="E140" i="23"/>
  <c r="D139" i="23"/>
  <c r="C139" i="23"/>
  <c r="E138" i="23"/>
  <c r="D137" i="23"/>
  <c r="C137" i="23"/>
  <c r="E136" i="23"/>
  <c r="E135" i="23"/>
  <c r="E134" i="23"/>
  <c r="C133" i="23"/>
  <c r="E133" i="23" s="1"/>
  <c r="E132" i="23"/>
  <c r="C131" i="23"/>
  <c r="E131" i="23" s="1"/>
  <c r="E130" i="23"/>
  <c r="C129" i="23"/>
  <c r="E129" i="23" s="1"/>
  <c r="E128" i="23"/>
  <c r="M127" i="23"/>
  <c r="C127" i="23"/>
  <c r="E127" i="23" s="1"/>
  <c r="E126" i="23"/>
  <c r="C125" i="23"/>
  <c r="E125" i="23" s="1"/>
  <c r="E124" i="23"/>
  <c r="C123" i="23"/>
  <c r="E123" i="23" s="1"/>
  <c r="E122" i="23"/>
  <c r="C121" i="23"/>
  <c r="E121" i="23" s="1"/>
  <c r="E120" i="23"/>
  <c r="M119" i="23"/>
  <c r="C119" i="23"/>
  <c r="E119" i="23" s="1"/>
  <c r="E118" i="23"/>
  <c r="H116" i="23"/>
  <c r="H117" i="23" s="1"/>
  <c r="C116" i="23"/>
  <c r="B116" i="23"/>
  <c r="D115" i="23"/>
  <c r="D116" i="23" s="1"/>
  <c r="D117" i="23" s="1"/>
  <c r="C115" i="23"/>
  <c r="E114" i="23"/>
  <c r="D111" i="23"/>
  <c r="D112" i="23" s="1"/>
  <c r="D113" i="23" s="1"/>
  <c r="C111" i="23"/>
  <c r="C112" i="23" s="1"/>
  <c r="C113" i="23" s="1"/>
  <c r="E110" i="23"/>
  <c r="D107" i="23"/>
  <c r="D108" i="23" s="1"/>
  <c r="D109" i="23" s="1"/>
  <c r="C107" i="23"/>
  <c r="E106" i="23"/>
  <c r="D103" i="23"/>
  <c r="D104" i="23" s="1"/>
  <c r="C103" i="23"/>
  <c r="C104" i="23" s="1"/>
  <c r="C105" i="23" s="1"/>
  <c r="A103" i="23"/>
  <c r="A104" i="23" s="1"/>
  <c r="E102" i="23"/>
  <c r="H101" i="23"/>
  <c r="D99" i="23"/>
  <c r="D100" i="23" s="1"/>
  <c r="D101" i="23" s="1"/>
  <c r="C99" i="23"/>
  <c r="C100" i="23" s="1"/>
  <c r="E98" i="23"/>
  <c r="E97" i="23"/>
  <c r="D95" i="23"/>
  <c r="D96" i="23" s="1"/>
  <c r="C95" i="23"/>
  <c r="E95" i="23" s="1"/>
  <c r="G95" i="23" s="1"/>
  <c r="E94" i="23"/>
  <c r="G94" i="23" s="1"/>
  <c r="E93" i="23"/>
  <c r="G93" i="23" s="1"/>
  <c r="E92" i="23"/>
  <c r="G92" i="23" s="1"/>
  <c r="E91" i="23"/>
  <c r="G91" i="23" s="1"/>
  <c r="E90" i="23"/>
  <c r="D89" i="23"/>
  <c r="E89" i="23" s="1"/>
  <c r="C89" i="23"/>
  <c r="E88" i="23"/>
  <c r="C86" i="23"/>
  <c r="B86" i="23"/>
  <c r="B87" i="23" s="1"/>
  <c r="D85" i="23"/>
  <c r="D86" i="23" s="1"/>
  <c r="D87" i="23" s="1"/>
  <c r="C85" i="23"/>
  <c r="E84" i="23"/>
  <c r="B82" i="23"/>
  <c r="B83" i="23" s="1"/>
  <c r="D81" i="23"/>
  <c r="D82" i="23" s="1"/>
  <c r="D83" i="23" s="1"/>
  <c r="C81" i="23"/>
  <c r="E80" i="23"/>
  <c r="E79" i="23"/>
  <c r="G79" i="23" s="1"/>
  <c r="C77" i="23"/>
  <c r="C78" i="23" s="1"/>
  <c r="E78" i="23" s="1"/>
  <c r="G78" i="23" s="1"/>
  <c r="E76" i="23"/>
  <c r="G76" i="23" s="1"/>
  <c r="L75" i="23"/>
  <c r="D75" i="23"/>
  <c r="C75" i="23"/>
  <c r="E74" i="23"/>
  <c r="E73" i="23"/>
  <c r="G73" i="23" s="1"/>
  <c r="I72" i="23"/>
  <c r="E72" i="23"/>
  <c r="G72" i="23" s="1"/>
  <c r="E71" i="23"/>
  <c r="G71" i="23" s="1"/>
  <c r="E70" i="23"/>
  <c r="G70" i="23" s="1"/>
  <c r="E69" i="23"/>
  <c r="D68" i="23"/>
  <c r="C68" i="23"/>
  <c r="E68" i="23" s="1"/>
  <c r="E67" i="23"/>
  <c r="D66" i="23"/>
  <c r="C66" i="23"/>
  <c r="E66" i="23" s="1"/>
  <c r="E65" i="23"/>
  <c r="E64" i="23"/>
  <c r="G64" i="23" s="1"/>
  <c r="D63" i="23"/>
  <c r="C63" i="23"/>
  <c r="E62" i="23"/>
  <c r="E61" i="23"/>
  <c r="E60" i="23"/>
  <c r="E59" i="23"/>
  <c r="B57" i="23"/>
  <c r="B58" i="23" s="1"/>
  <c r="D56" i="23"/>
  <c r="D57" i="23" s="1"/>
  <c r="D58" i="23" s="1"/>
  <c r="C56" i="23"/>
  <c r="C57" i="23" s="1"/>
  <c r="E55" i="23"/>
  <c r="B53" i="23"/>
  <c r="B54" i="23" s="1"/>
  <c r="D52" i="23"/>
  <c r="D53" i="23" s="1"/>
  <c r="D54" i="23" s="1"/>
  <c r="C52" i="23"/>
  <c r="C53" i="23" s="1"/>
  <c r="C54" i="23" s="1"/>
  <c r="E51" i="23"/>
  <c r="H50" i="23"/>
  <c r="D50" i="23"/>
  <c r="E50" i="23" s="1"/>
  <c r="C50" i="23"/>
  <c r="E49" i="23"/>
  <c r="D48" i="23"/>
  <c r="C48" i="23"/>
  <c r="E47" i="23"/>
  <c r="D46" i="23"/>
  <c r="C46" i="23"/>
  <c r="E45" i="23"/>
  <c r="D44" i="23"/>
  <c r="C44" i="23"/>
  <c r="E43" i="23"/>
  <c r="C42" i="23"/>
  <c r="E42" i="23" s="1"/>
  <c r="E41" i="23"/>
  <c r="D40" i="23"/>
  <c r="C40" i="23"/>
  <c r="E39" i="23"/>
  <c r="D38" i="23"/>
  <c r="C38" i="23"/>
  <c r="E37" i="23"/>
  <c r="E36" i="23"/>
  <c r="E35" i="23"/>
  <c r="G35" i="23" s="1"/>
  <c r="E34" i="23"/>
  <c r="G34" i="23" s="1"/>
  <c r="E33" i="23"/>
  <c r="I32" i="23"/>
  <c r="E32" i="23"/>
  <c r="G32" i="23" s="1"/>
  <c r="G31" i="23"/>
  <c r="C31" i="23"/>
  <c r="E31" i="23" s="1"/>
  <c r="E30" i="23"/>
  <c r="G30" i="23" s="1"/>
  <c r="D29" i="23"/>
  <c r="C29" i="23"/>
  <c r="E28" i="23"/>
  <c r="D27" i="23"/>
  <c r="C27" i="23"/>
  <c r="E26" i="23"/>
  <c r="D25" i="23"/>
  <c r="C25" i="23"/>
  <c r="E25" i="23" s="1"/>
  <c r="E24" i="23"/>
  <c r="D23" i="23"/>
  <c r="C23" i="23"/>
  <c r="E22" i="23"/>
  <c r="H21" i="23"/>
  <c r="D21" i="23"/>
  <c r="C21" i="23"/>
  <c r="E21" i="23" s="1"/>
  <c r="A21" i="23"/>
  <c r="A22" i="23" s="1"/>
  <c r="A23" i="23" s="1"/>
  <c r="A24" i="23" s="1"/>
  <c r="A25" i="23" s="1"/>
  <c r="A26" i="23" s="1"/>
  <c r="A27" i="23" s="1"/>
  <c r="A28" i="23" s="1"/>
  <c r="A29" i="23" s="1"/>
  <c r="A30" i="23" s="1"/>
  <c r="A31" i="23" s="1"/>
  <c r="A32" i="23" s="1"/>
  <c r="A33" i="23" s="1"/>
  <c r="A34" i="23" s="1"/>
  <c r="A35" i="23" s="1"/>
  <c r="A36" i="23" s="1"/>
  <c r="A37" i="23" s="1"/>
  <c r="A38" i="23" s="1"/>
  <c r="A39" i="23" s="1"/>
  <c r="A40" i="23" s="1"/>
  <c r="A41" i="23" s="1"/>
  <c r="A42" i="23" s="1"/>
  <c r="A43" i="23" s="1"/>
  <c r="A44" i="23" s="1"/>
  <c r="E20" i="23"/>
  <c r="E19" i="23"/>
  <c r="F18" i="23"/>
  <c r="F19" i="23" s="1"/>
  <c r="F20" i="23" s="1"/>
  <c r="E18" i="23"/>
  <c r="E17" i="23"/>
  <c r="G17" i="23" s="1"/>
  <c r="E16" i="23"/>
  <c r="G16" i="23" s="1"/>
  <c r="E15" i="23"/>
  <c r="G15" i="23" s="1"/>
  <c r="E14" i="23"/>
  <c r="G14" i="23" s="1"/>
  <c r="E13" i="23"/>
  <c r="G13" i="23" s="1"/>
  <c r="E12" i="23"/>
  <c r="G12" i="23" s="1"/>
  <c r="E11" i="23"/>
  <c r="G11" i="23" s="1"/>
  <c r="A11" i="23"/>
  <c r="A12" i="23" s="1"/>
  <c r="A13" i="23" s="1"/>
  <c r="A14" i="23" s="1"/>
  <c r="E10" i="23"/>
  <c r="G10" i="23" s="1"/>
  <c r="C8" i="23"/>
  <c r="C9" i="23" s="1"/>
  <c r="E9" i="23" s="1"/>
  <c r="G9" i="23" s="1"/>
  <c r="E7" i="23"/>
  <c r="G7" i="23" s="1"/>
  <c r="A7" i="23"/>
  <c r="E6" i="23"/>
  <c r="G6" i="23" s="1"/>
  <c r="E85" i="23" l="1"/>
  <c r="E103" i="23"/>
  <c r="E77" i="23"/>
  <c r="G77" i="23" s="1"/>
  <c r="C96" i="23"/>
  <c r="E27" i="23"/>
  <c r="E44" i="23"/>
  <c r="E63" i="23"/>
  <c r="E54" i="23"/>
  <c r="C168" i="23"/>
  <c r="C169" i="23" s="1"/>
  <c r="E169" i="23" s="1"/>
  <c r="E23" i="23"/>
  <c r="E178" i="23"/>
  <c r="E137" i="23"/>
  <c r="E172" i="23"/>
  <c r="M178" i="23"/>
  <c r="F135" i="26"/>
  <c r="G134" i="26"/>
  <c r="E110" i="16"/>
  <c r="E111" i="16" s="1"/>
  <c r="E101" i="16"/>
  <c r="E102" i="16" s="1"/>
  <c r="E113" i="16"/>
  <c r="F43" i="15" s="1"/>
  <c r="E104" i="16"/>
  <c r="E105" i="16" s="1"/>
  <c r="E116" i="16"/>
  <c r="F26" i="15" s="1"/>
  <c r="E107" i="16"/>
  <c r="E108" i="16" s="1"/>
  <c r="T68" i="18"/>
  <c r="O32" i="23"/>
  <c r="D105" i="23"/>
  <c r="E104" i="23"/>
  <c r="E29" i="23"/>
  <c r="E38" i="23"/>
  <c r="E75" i="23"/>
  <c r="E115" i="23"/>
  <c r="E139" i="23"/>
  <c r="E143" i="23"/>
  <c r="E86" i="23"/>
  <c r="C87" i="23"/>
  <c r="E87" i="23" s="1"/>
  <c r="E53" i="23"/>
  <c r="E56" i="23"/>
  <c r="E105" i="23"/>
  <c r="O72" i="23"/>
  <c r="B117" i="23"/>
  <c r="E147" i="23"/>
  <c r="E155" i="23"/>
  <c r="A47" i="23"/>
  <c r="A48" i="23" s="1"/>
  <c r="A45" i="23"/>
  <c r="A46" i="23" s="1"/>
  <c r="A49" i="23" s="1"/>
  <c r="A50" i="23" s="1"/>
  <c r="A51" i="23" s="1"/>
  <c r="A52" i="23" s="1"/>
  <c r="A53" i="23" s="1"/>
  <c r="C82" i="23"/>
  <c r="E81" i="23"/>
  <c r="E8" i="23"/>
  <c r="G8" i="23" s="1"/>
  <c r="G18" i="23"/>
  <c r="G19" i="23"/>
  <c r="E46" i="23"/>
  <c r="E48" i="23"/>
  <c r="G20" i="23"/>
  <c r="F21" i="23"/>
  <c r="F22" i="23" s="1"/>
  <c r="E40" i="23"/>
  <c r="E57" i="23"/>
  <c r="C58" i="23"/>
  <c r="E58" i="23" s="1"/>
  <c r="E107" i="23"/>
  <c r="C108" i="23"/>
  <c r="E113" i="23"/>
  <c r="E116" i="23"/>
  <c r="C117" i="23"/>
  <c r="E117" i="23" s="1"/>
  <c r="E52" i="23"/>
  <c r="E96" i="23"/>
  <c r="G96" i="23" s="1"/>
  <c r="E99" i="23"/>
  <c r="C101" i="23"/>
  <c r="E100" i="23"/>
  <c r="A106" i="23"/>
  <c r="A107" i="23" s="1"/>
  <c r="A108" i="23" s="1"/>
  <c r="A105" i="23"/>
  <c r="E111" i="23"/>
  <c r="E112" i="23"/>
  <c r="E159" i="23"/>
  <c r="C160" i="23"/>
  <c r="E182" i="23"/>
  <c r="E165" i="23"/>
  <c r="E163" i="23"/>
  <c r="E164" i="23"/>
  <c r="E168" i="23" l="1"/>
  <c r="F136" i="26"/>
  <c r="G135" i="26"/>
  <c r="E114" i="16"/>
  <c r="E115" i="16" s="1"/>
  <c r="A109" i="23"/>
  <c r="A110" i="23"/>
  <c r="A111" i="23" s="1"/>
  <c r="A112" i="23" s="1"/>
  <c r="A55" i="23"/>
  <c r="A56" i="23" s="1"/>
  <c r="A57" i="23" s="1"/>
  <c r="A54" i="23"/>
  <c r="E101" i="23"/>
  <c r="G22" i="23"/>
  <c r="F23" i="23"/>
  <c r="C83" i="23"/>
  <c r="E83" i="23" s="1"/>
  <c r="E82" i="23"/>
  <c r="E108" i="23"/>
  <c r="C109" i="23"/>
  <c r="E109" i="23" s="1"/>
  <c r="G21" i="23"/>
  <c r="E160" i="23"/>
  <c r="C161" i="23"/>
  <c r="G6" i="24"/>
  <c r="N6" i="24" s="1"/>
  <c r="G7" i="24"/>
  <c r="N7" i="24" s="1"/>
  <c r="G8" i="24"/>
  <c r="N8" i="24" s="1"/>
  <c r="G9" i="24"/>
  <c r="N9" i="24" s="1"/>
  <c r="G10" i="24"/>
  <c r="N10" i="24" s="1"/>
  <c r="G11" i="24"/>
  <c r="N11" i="24" s="1"/>
  <c r="G12" i="24"/>
  <c r="N12" i="24" s="1"/>
  <c r="G13" i="24"/>
  <c r="N13" i="24" s="1"/>
  <c r="G14" i="24"/>
  <c r="N14" i="24" s="1"/>
  <c r="G15" i="24"/>
  <c r="N15" i="24" s="1"/>
  <c r="G16" i="24"/>
  <c r="N16" i="24" s="1"/>
  <c r="G17" i="24"/>
  <c r="N17" i="24" s="1"/>
  <c r="G18" i="24"/>
  <c r="N18" i="24" s="1"/>
  <c r="G19" i="24"/>
  <c r="N19" i="24" s="1"/>
  <c r="G20" i="24"/>
  <c r="N20" i="24" s="1"/>
  <c r="G21" i="24"/>
  <c r="N21" i="24" s="1"/>
  <c r="G22" i="24"/>
  <c r="N22" i="24" s="1"/>
  <c r="G23" i="24"/>
  <c r="N23" i="24" s="1"/>
  <c r="G24" i="24"/>
  <c r="N24" i="24" s="1"/>
  <c r="G25" i="24"/>
  <c r="N25" i="24" s="1"/>
  <c r="G26" i="24"/>
  <c r="N26" i="24" s="1"/>
  <c r="G27" i="24"/>
  <c r="N27" i="24" s="1"/>
  <c r="G28" i="24"/>
  <c r="N28" i="24" s="1"/>
  <c r="G29" i="24"/>
  <c r="N29" i="24" s="1"/>
  <c r="G30" i="24"/>
  <c r="N30" i="24" s="1"/>
  <c r="G31" i="24"/>
  <c r="N31" i="24" s="1"/>
  <c r="G32" i="24"/>
  <c r="N32" i="24" s="1"/>
  <c r="G33" i="24"/>
  <c r="N33" i="24" s="1"/>
  <c r="G34" i="24"/>
  <c r="N34" i="24" s="1"/>
  <c r="G35" i="24"/>
  <c r="N35" i="24" s="1"/>
  <c r="G36" i="24"/>
  <c r="N36" i="24" s="1"/>
  <c r="G37" i="24"/>
  <c r="N37" i="24" s="1"/>
  <c r="G38" i="24"/>
  <c r="N38" i="24" s="1"/>
  <c r="G39" i="24"/>
  <c r="N39" i="24" s="1"/>
  <c r="G40" i="24"/>
  <c r="N40" i="24" s="1"/>
  <c r="G41" i="24"/>
  <c r="N41" i="24" s="1"/>
  <c r="G42" i="24"/>
  <c r="N42" i="24" s="1"/>
  <c r="G43" i="24"/>
  <c r="N43" i="24" s="1"/>
  <c r="G44" i="24"/>
  <c r="N44" i="24" s="1"/>
  <c r="G45" i="24"/>
  <c r="N45" i="24" s="1"/>
  <c r="G46" i="24"/>
  <c r="N46" i="24" s="1"/>
  <c r="G47" i="24"/>
  <c r="N47" i="24" s="1"/>
  <c r="G48" i="24"/>
  <c r="N48" i="24" s="1"/>
  <c r="G49" i="24"/>
  <c r="N49" i="24" s="1"/>
  <c r="G50" i="24"/>
  <c r="N50" i="24" s="1"/>
  <c r="G51" i="24"/>
  <c r="N51" i="24" s="1"/>
  <c r="G52" i="24"/>
  <c r="N52" i="24" s="1"/>
  <c r="G53" i="24"/>
  <c r="N53" i="24" s="1"/>
  <c r="N59" i="13"/>
  <c r="AC43" i="13" l="1"/>
  <c r="AC21" i="13"/>
  <c r="AA21" i="13"/>
  <c r="AA43" i="13"/>
  <c r="F137" i="26"/>
  <c r="G136" i="26"/>
  <c r="E161" i="23"/>
  <c r="A58" i="23"/>
  <c r="A60" i="23" s="1"/>
  <c r="A59" i="23"/>
  <c r="F24" i="23"/>
  <c r="G23" i="23"/>
  <c r="A114" i="23"/>
  <c r="A115" i="23" s="1"/>
  <c r="A116" i="23" s="1"/>
  <c r="A113" i="23"/>
  <c r="F138" i="26" l="1"/>
  <c r="G137" i="26"/>
  <c r="A62" i="23"/>
  <c r="A63" i="23" s="1"/>
  <c r="A64" i="23" s="1"/>
  <c r="A65" i="23" s="1"/>
  <c r="A66" i="23" s="1"/>
  <c r="A67" i="23" s="1"/>
  <c r="A68" i="23" s="1"/>
  <c r="A69" i="23" s="1"/>
  <c r="A70" i="23" s="1"/>
  <c r="A71" i="23" s="1"/>
  <c r="A72" i="23" s="1"/>
  <c r="A73" i="23" s="1"/>
  <c r="A74" i="23" s="1"/>
  <c r="A75" i="23" s="1"/>
  <c r="A76" i="23" s="1"/>
  <c r="A77" i="23" s="1"/>
  <c r="A61" i="23"/>
  <c r="A117" i="23"/>
  <c r="A120" i="23" s="1"/>
  <c r="A121" i="23" s="1"/>
  <c r="A118" i="23"/>
  <c r="A119" i="23" s="1"/>
  <c r="A122" i="23" s="1"/>
  <c r="A123" i="23" s="1"/>
  <c r="A124" i="23" s="1"/>
  <c r="A125" i="23" s="1"/>
  <c r="A126" i="23" s="1"/>
  <c r="A127" i="23" s="1"/>
  <c r="A128" i="23" s="1"/>
  <c r="A129" i="23" s="1"/>
  <c r="A130" i="23" s="1"/>
  <c r="A131" i="23" s="1"/>
  <c r="F25" i="23"/>
  <c r="G24" i="23"/>
  <c r="G54" i="24"/>
  <c r="N54" i="24" s="1"/>
  <c r="G138" i="26" l="1"/>
  <c r="F139" i="26"/>
  <c r="A132" i="23"/>
  <c r="A133" i="23" s="1"/>
  <c r="A134" i="23"/>
  <c r="A135" i="23" s="1"/>
  <c r="A136" i="23" s="1"/>
  <c r="A137" i="23" s="1"/>
  <c r="A138" i="23" s="1"/>
  <c r="A139" i="23" s="1"/>
  <c r="A140" i="23" s="1"/>
  <c r="A141" i="23" s="1"/>
  <c r="A142" i="23" s="1"/>
  <c r="A143" i="23" s="1"/>
  <c r="A144" i="23" s="1"/>
  <c r="A145" i="23" s="1"/>
  <c r="A146" i="23" s="1"/>
  <c r="A147" i="23" s="1"/>
  <c r="A148" i="23" s="1"/>
  <c r="A149" i="23" s="1"/>
  <c r="A150" i="23" s="1"/>
  <c r="A151" i="23" s="1"/>
  <c r="A152" i="23" s="1"/>
  <c r="A153" i="23" s="1"/>
  <c r="A154" i="23" s="1"/>
  <c r="A155" i="23" s="1"/>
  <c r="A156" i="23" s="1"/>
  <c r="A157" i="23" s="1"/>
  <c r="A158" i="23" s="1"/>
  <c r="A159" i="23" s="1"/>
  <c r="A160" i="23" s="1"/>
  <c r="A161" i="23" s="1"/>
  <c r="A162" i="23" s="1"/>
  <c r="A163" i="23" s="1"/>
  <c r="A164" i="23" s="1"/>
  <c r="A165" i="23" s="1"/>
  <c r="A166" i="23" s="1"/>
  <c r="A167" i="23" s="1"/>
  <c r="A168" i="23" s="1"/>
  <c r="A170" i="23" s="1"/>
  <c r="A171" i="23" s="1"/>
  <c r="A172" i="23" s="1"/>
  <c r="A173" i="23" s="1"/>
  <c r="A174" i="23" s="1"/>
  <c r="A175" i="23" s="1"/>
  <c r="A176" i="23" s="1"/>
  <c r="A177" i="23" s="1"/>
  <c r="A178" i="23" s="1"/>
  <c r="A179" i="23" s="1"/>
  <c r="A180" i="23" s="1"/>
  <c r="A181" i="23" s="1"/>
  <c r="A182" i="23" s="1"/>
  <c r="A183" i="23" s="1"/>
  <c r="A184" i="23" s="1"/>
  <c r="A185" i="23" s="1"/>
  <c r="F26" i="23"/>
  <c r="G25" i="23"/>
  <c r="A79" i="23"/>
  <c r="A80" i="23" s="1"/>
  <c r="A81" i="23" s="1"/>
  <c r="A82" i="23" s="1"/>
  <c r="A78" i="23"/>
  <c r="G139" i="26" l="1"/>
  <c r="F140" i="26"/>
  <c r="F27" i="23"/>
  <c r="G26" i="23"/>
  <c r="A84" i="23"/>
  <c r="A85" i="23" s="1"/>
  <c r="A86" i="23" s="1"/>
  <c r="A83" i="23"/>
  <c r="N27" i="13"/>
  <c r="F26" i="19" s="1"/>
  <c r="G47" i="15" s="1"/>
  <c r="N50" i="13"/>
  <c r="F49" i="19" s="1"/>
  <c r="N29" i="13"/>
  <c r="F28" i="19" s="1"/>
  <c r="N22" i="13"/>
  <c r="F21" i="19" s="1"/>
  <c r="G62" i="15" s="1"/>
  <c r="H62" i="15" s="1"/>
  <c r="N35" i="13"/>
  <c r="F34" i="19" s="1"/>
  <c r="N42" i="13"/>
  <c r="F41" i="19" s="1"/>
  <c r="G60" i="15" l="1"/>
  <c r="G34" i="15"/>
  <c r="H34" i="15" s="1"/>
  <c r="G30" i="15"/>
  <c r="H30" i="15" s="1"/>
  <c r="F37" i="19"/>
  <c r="G55" i="15" s="1"/>
  <c r="AA50" i="13"/>
  <c r="AC50" i="13"/>
  <c r="F24" i="19"/>
  <c r="G48" i="15" s="1"/>
  <c r="AA22" i="13"/>
  <c r="AC22" i="13"/>
  <c r="F45" i="19"/>
  <c r="AA24" i="13"/>
  <c r="AC24" i="13"/>
  <c r="AC58" i="13"/>
  <c r="AA58" i="13"/>
  <c r="AC6" i="13"/>
  <c r="AA6" i="13"/>
  <c r="AC25" i="13"/>
  <c r="AC42" i="13"/>
  <c r="AA42" i="13"/>
  <c r="AC8" i="13"/>
  <c r="AC19" i="13"/>
  <c r="AA19" i="13"/>
  <c r="AC44" i="13"/>
  <c r="AA25" i="13"/>
  <c r="AA8" i="13"/>
  <c r="G140" i="26"/>
  <c r="F141" i="26"/>
  <c r="AA44" i="13"/>
  <c r="A88" i="23"/>
  <c r="A89" i="23" s="1"/>
  <c r="A90" i="23" s="1"/>
  <c r="A91" i="23" s="1"/>
  <c r="A92" i="23" s="1"/>
  <c r="A93" i="23" s="1"/>
  <c r="A94" i="23" s="1"/>
  <c r="A95" i="23" s="1"/>
  <c r="A87" i="23"/>
  <c r="F28" i="23"/>
  <c r="G27" i="23"/>
  <c r="G50" i="15" l="1"/>
  <c r="G68" i="15"/>
  <c r="G28" i="15"/>
  <c r="H28" i="15" s="1"/>
  <c r="F142" i="26"/>
  <c r="G141" i="26"/>
  <c r="F29" i="23"/>
  <c r="G28" i="23"/>
  <c r="A96" i="23"/>
  <c r="A97" i="23"/>
  <c r="A98" i="23" s="1"/>
  <c r="A99" i="23" s="1"/>
  <c r="A100" i="23" s="1"/>
  <c r="Y53" i="24"/>
  <c r="B152" i="19"/>
  <c r="B153" i="19"/>
  <c r="B154" i="19"/>
  <c r="B155" i="19"/>
  <c r="B156" i="19"/>
  <c r="B157" i="19"/>
  <c r="B158" i="19"/>
  <c r="B159" i="19"/>
  <c r="B104" i="19"/>
  <c r="B105" i="19"/>
  <c r="B106" i="19"/>
  <c r="B107" i="19"/>
  <c r="B108" i="19"/>
  <c r="B95" i="19"/>
  <c r="B96" i="19"/>
  <c r="B97" i="19"/>
  <c r="B98" i="19"/>
  <c r="B99" i="19"/>
  <c r="B100" i="19"/>
  <c r="B101" i="19"/>
  <c r="B102" i="19"/>
  <c r="B103" i="19"/>
  <c r="E53" i="13"/>
  <c r="G53" i="13" s="1"/>
  <c r="N53" i="13" s="1"/>
  <c r="F52" i="19" s="1"/>
  <c r="E114" i="13"/>
  <c r="G114" i="13" s="1"/>
  <c r="K114" i="13" s="1"/>
  <c r="E102" i="13"/>
  <c r="G102" i="13" s="1"/>
  <c r="K102" i="13" s="1"/>
  <c r="E101" i="13"/>
  <c r="G101" i="13" s="1"/>
  <c r="K101" i="13" s="1"/>
  <c r="E105" i="13"/>
  <c r="G105" i="13" s="1"/>
  <c r="K105" i="13" s="1"/>
  <c r="E103" i="13"/>
  <c r="G103" i="13" s="1"/>
  <c r="K103" i="13" s="1"/>
  <c r="E11" i="14"/>
  <c r="E54" i="14"/>
  <c r="E42" i="14"/>
  <c r="E12" i="14"/>
  <c r="E56" i="14"/>
  <c r="E33" i="14"/>
  <c r="E20" i="14"/>
  <c r="E46" i="14"/>
  <c r="E10" i="14"/>
  <c r="E48" i="14"/>
  <c r="E34" i="14"/>
  <c r="E7" i="14"/>
  <c r="E26" i="14"/>
  <c r="E21" i="14"/>
  <c r="E14" i="14"/>
  <c r="E19" i="14"/>
  <c r="E8" i="14"/>
  <c r="E40" i="14"/>
  <c r="E37" i="14"/>
  <c r="G37" i="14" s="1"/>
  <c r="M37" i="14" s="1"/>
  <c r="E51" i="14"/>
  <c r="E17" i="14"/>
  <c r="G17" i="14" s="1"/>
  <c r="M17" i="14" s="1"/>
  <c r="E22" i="14"/>
  <c r="E13" i="14"/>
  <c r="G13" i="14" s="1"/>
  <c r="M13" i="14" s="1"/>
  <c r="E23" i="14"/>
  <c r="E30" i="14"/>
  <c r="G30" i="14" s="1"/>
  <c r="M30" i="14" s="1"/>
  <c r="E57" i="14"/>
  <c r="E29" i="14"/>
  <c r="G29" i="14" s="1"/>
  <c r="M29" i="14" s="1"/>
  <c r="E31" i="14"/>
  <c r="E52" i="14"/>
  <c r="E25" i="14"/>
  <c r="E55" i="14"/>
  <c r="E32" i="14"/>
  <c r="E16" i="14"/>
  <c r="G16" i="14" s="1"/>
  <c r="M16" i="14" s="1"/>
  <c r="E36" i="14"/>
  <c r="E53" i="14"/>
  <c r="E38" i="14"/>
  <c r="E47" i="14"/>
  <c r="E24" i="14"/>
  <c r="E27" i="14"/>
  <c r="E9" i="14"/>
  <c r="E18" i="14"/>
  <c r="E39" i="14"/>
  <c r="E28" i="14"/>
  <c r="E6" i="14"/>
  <c r="G6" i="14" s="1"/>
  <c r="M6" i="14" s="1"/>
  <c r="E15" i="14"/>
  <c r="G15" i="14" s="1"/>
  <c r="M15" i="14" s="1"/>
  <c r="E45" i="14"/>
  <c r="E43" i="14"/>
  <c r="G43" i="14" s="1"/>
  <c r="M43" i="14" s="1"/>
  <c r="E41" i="14"/>
  <c r="E50" i="14"/>
  <c r="E35" i="14"/>
  <c r="AC103" i="13" l="1"/>
  <c r="AC112" i="13"/>
  <c r="AA56" i="13"/>
  <c r="AC56" i="13"/>
  <c r="F143" i="26"/>
  <c r="G142" i="26"/>
  <c r="C97" i="19"/>
  <c r="D97" i="19"/>
  <c r="C103" i="19"/>
  <c r="D103" i="19"/>
  <c r="C96" i="19"/>
  <c r="D96" i="19"/>
  <c r="C106" i="19"/>
  <c r="D106" i="19"/>
  <c r="D102" i="19"/>
  <c r="C102" i="19"/>
  <c r="D99" i="19"/>
  <c r="C99" i="19"/>
  <c r="D95" i="19"/>
  <c r="C95" i="19"/>
  <c r="D105" i="19"/>
  <c r="C105" i="19"/>
  <c r="C100" i="19"/>
  <c r="D100" i="19"/>
  <c r="C107" i="19"/>
  <c r="D107" i="19"/>
  <c r="D101" i="19"/>
  <c r="C101" i="19"/>
  <c r="D98" i="19"/>
  <c r="C98" i="19"/>
  <c r="D108" i="19"/>
  <c r="E108" i="19" s="1"/>
  <c r="C108" i="19"/>
  <c r="D104" i="19"/>
  <c r="C104" i="19"/>
  <c r="F33" i="23"/>
  <c r="G29" i="23"/>
  <c r="F144" i="26" l="1"/>
  <c r="G143" i="26"/>
  <c r="E107" i="19"/>
  <c r="E106" i="19" s="1"/>
  <c r="E105" i="19" s="1"/>
  <c r="E104" i="19" s="1"/>
  <c r="E103" i="19" s="1"/>
  <c r="E102" i="19" s="1"/>
  <c r="E101" i="19" s="1"/>
  <c r="E100" i="19" s="1"/>
  <c r="E99" i="19" s="1"/>
  <c r="E98" i="19" s="1"/>
  <c r="E97" i="19" s="1"/>
  <c r="E96" i="19" s="1"/>
  <c r="E95" i="19" s="1"/>
  <c r="G33" i="23"/>
  <c r="O33" i="23" s="1"/>
  <c r="F36" i="23"/>
  <c r="F145" i="26" l="1"/>
  <c r="G144" i="26"/>
  <c r="F37" i="23"/>
  <c r="G36" i="23"/>
  <c r="F146" i="26" l="1"/>
  <c r="G145" i="26"/>
  <c r="F38" i="23"/>
  <c r="G37" i="23"/>
  <c r="D12" i="16"/>
  <c r="D24" i="15" l="1"/>
  <c r="D10" i="19"/>
  <c r="F147" i="26"/>
  <c r="G146" i="26"/>
  <c r="F39" i="23"/>
  <c r="G38" i="23"/>
  <c r="F148" i="26" l="1"/>
  <c r="G147" i="26"/>
  <c r="G39" i="23"/>
  <c r="F40" i="23"/>
  <c r="A6" i="25"/>
  <c r="A7" i="25" s="1"/>
  <c r="A8" i="25" s="1"/>
  <c r="A9" i="25" s="1"/>
  <c r="A10" i="25" s="1"/>
  <c r="A11" i="25" s="1"/>
  <c r="A12" i="25" s="1"/>
  <c r="A13" i="25" s="1"/>
  <c r="A14" i="25" s="1"/>
  <c r="A15" i="25" s="1"/>
  <c r="A16" i="25" s="1"/>
  <c r="A17" i="25" s="1"/>
  <c r="A18" i="25" s="1"/>
  <c r="A19" i="25" s="1"/>
  <c r="A20" i="25" s="1"/>
  <c r="A21" i="25" s="1"/>
  <c r="A22" i="25" s="1"/>
  <c r="A23" i="25" s="1"/>
  <c r="A24" i="25" s="1"/>
  <c r="A25" i="25" s="1"/>
  <c r="A26" i="25" s="1"/>
  <c r="A27" i="25" s="1"/>
  <c r="A28" i="25" s="1"/>
  <c r="A29" i="25" s="1"/>
  <c r="A30" i="25" s="1"/>
  <c r="A31" i="25" s="1"/>
  <c r="A32" i="25" s="1"/>
  <c r="A33" i="25" s="1"/>
  <c r="A34" i="25" s="1"/>
  <c r="A35" i="25" s="1"/>
  <c r="A36" i="25" s="1"/>
  <c r="A37" i="25" s="1"/>
  <c r="A38" i="25" s="1"/>
  <c r="A39" i="25" s="1"/>
  <c r="A40" i="25" s="1"/>
  <c r="A41" i="25" s="1"/>
  <c r="A42" i="25" s="1"/>
  <c r="A43" i="25" s="1"/>
  <c r="A44" i="25" s="1"/>
  <c r="A45" i="25" s="1"/>
  <c r="A46" i="25" s="1"/>
  <c r="A47" i="25" s="1"/>
  <c r="A48" i="25" s="1"/>
  <c r="A49" i="25" s="1"/>
  <c r="A50" i="25" s="1"/>
  <c r="A51" i="25" s="1"/>
  <c r="A52" i="25" s="1"/>
  <c r="A53" i="25" s="1"/>
  <c r="A54" i="25" s="1"/>
  <c r="A55" i="25" s="1"/>
  <c r="A56" i="25" s="1"/>
  <c r="A57" i="25" s="1"/>
  <c r="A58" i="25" s="1"/>
  <c r="A59" i="25" s="1"/>
  <c r="A60" i="25" s="1"/>
  <c r="G148" i="26" l="1"/>
  <c r="F149" i="26"/>
  <c r="F41" i="23"/>
  <c r="G40" i="23"/>
  <c r="D33" i="18"/>
  <c r="T33" i="18" s="1"/>
  <c r="G149" i="26" l="1"/>
  <c r="F150" i="26"/>
  <c r="F42" i="23"/>
  <c r="G41" i="23"/>
  <c r="C71" i="18"/>
  <c r="G150" i="26" l="1"/>
  <c r="F151" i="26"/>
  <c r="C72" i="18"/>
  <c r="T71" i="18"/>
  <c r="F43" i="23"/>
  <c r="G42" i="23"/>
  <c r="A7" i="24"/>
  <c r="A8" i="24" s="1"/>
  <c r="A9" i="24" s="1"/>
  <c r="A10" i="24" s="1"/>
  <c r="A11" i="24" s="1"/>
  <c r="A12" i="24" s="1"/>
  <c r="A13" i="24" s="1"/>
  <c r="A14" i="24" s="1"/>
  <c r="A15" i="24" s="1"/>
  <c r="A16" i="24" s="1"/>
  <c r="A17" i="24" s="1"/>
  <c r="A18" i="24" s="1"/>
  <c r="A19" i="24" s="1"/>
  <c r="A20" i="24" s="1"/>
  <c r="A21" i="24" s="1"/>
  <c r="A22" i="24" s="1"/>
  <c r="A23" i="24" s="1"/>
  <c r="A24" i="24" s="1"/>
  <c r="A25" i="24" s="1"/>
  <c r="A26" i="24" s="1"/>
  <c r="A27" i="24" s="1"/>
  <c r="A28" i="24" s="1"/>
  <c r="A29" i="24" s="1"/>
  <c r="A30" i="24" s="1"/>
  <c r="A31" i="24" s="1"/>
  <c r="A32" i="24" s="1"/>
  <c r="A33" i="24" s="1"/>
  <c r="A34" i="24" s="1"/>
  <c r="A35" i="24" s="1"/>
  <c r="A36" i="24" s="1"/>
  <c r="A37" i="24" s="1"/>
  <c r="A38" i="24" s="1"/>
  <c r="A39" i="24" s="1"/>
  <c r="A40" i="24" s="1"/>
  <c r="A41" i="24" s="1"/>
  <c r="A42" i="24" s="1"/>
  <c r="A43" i="24" s="1"/>
  <c r="A44" i="24" s="1"/>
  <c r="A45" i="24" s="1"/>
  <c r="A46" i="24" s="1"/>
  <c r="A47" i="24" s="1"/>
  <c r="A48" i="24" s="1"/>
  <c r="A49" i="24" s="1"/>
  <c r="A50" i="24" s="1"/>
  <c r="A51" i="24" s="1"/>
  <c r="A52" i="24" s="1"/>
  <c r="A53" i="24" s="1"/>
  <c r="A54" i="24" s="1"/>
  <c r="F152" i="26" l="1"/>
  <c r="G151" i="26"/>
  <c r="C73" i="18"/>
  <c r="T73" i="18" s="1"/>
  <c r="T72" i="18"/>
  <c r="F44" i="23"/>
  <c r="G43" i="23"/>
  <c r="Y11" i="24"/>
  <c r="Y6" i="24"/>
  <c r="Y7" i="24"/>
  <c r="Y17" i="24"/>
  <c r="Y22" i="24"/>
  <c r="Y34" i="24"/>
  <c r="Y14" i="24"/>
  <c r="Y49" i="24"/>
  <c r="Y46" i="24"/>
  <c r="Y10" i="24"/>
  <c r="Y39" i="24"/>
  <c r="Y20" i="24"/>
  <c r="Y29" i="24"/>
  <c r="Y18" i="24"/>
  <c r="Y25" i="24"/>
  <c r="Y37" i="24"/>
  <c r="Y21" i="24"/>
  <c r="Y44" i="24"/>
  <c r="Y9" i="24"/>
  <c r="Y24" i="24"/>
  <c r="Y38" i="24"/>
  <c r="Y26" i="24"/>
  <c r="Y52" i="24"/>
  <c r="Y42" i="24"/>
  <c r="Y47" i="24"/>
  <c r="Y32" i="24"/>
  <c r="Y48" i="24"/>
  <c r="Y33" i="24"/>
  <c r="Y43" i="24"/>
  <c r="Y50" i="24"/>
  <c r="Y27" i="24"/>
  <c r="Y23" i="24"/>
  <c r="Y12" i="24"/>
  <c r="Y13" i="24"/>
  <c r="Y30" i="24"/>
  <c r="Y15" i="24"/>
  <c r="Y19" i="24"/>
  <c r="Y51" i="24"/>
  <c r="Y28" i="24"/>
  <c r="Y41" i="24"/>
  <c r="Y16" i="24"/>
  <c r="Y36" i="24"/>
  <c r="Y8" i="24"/>
  <c r="Y40" i="24"/>
  <c r="Y35" i="24"/>
  <c r="Y45" i="24"/>
  <c r="Y31" i="24"/>
  <c r="U32" i="24"/>
  <c r="P38" i="24"/>
  <c r="W42" i="24"/>
  <c r="U36" i="24"/>
  <c r="U28" i="24"/>
  <c r="P51" i="24"/>
  <c r="U30" i="24"/>
  <c r="P45" i="24"/>
  <c r="U38" i="24"/>
  <c r="P42" i="24"/>
  <c r="Q18" i="24"/>
  <c r="W45" i="24"/>
  <c r="Q51" i="24"/>
  <c r="R46" i="24"/>
  <c r="S46" i="24"/>
  <c r="W43" i="24"/>
  <c r="U43" i="24"/>
  <c r="U51" i="24"/>
  <c r="P36" i="24"/>
  <c r="R7" i="24"/>
  <c r="P7" i="24"/>
  <c r="S7" i="24"/>
  <c r="W7" i="24"/>
  <c r="Q7" i="24"/>
  <c r="U7" i="24"/>
  <c r="R15" i="24"/>
  <c r="S15" i="24"/>
  <c r="W15" i="24"/>
  <c r="Q15" i="24"/>
  <c r="U15" i="24"/>
  <c r="P15" i="24"/>
  <c r="R24" i="24"/>
  <c r="W24" i="24"/>
  <c r="Q24" i="24"/>
  <c r="P24" i="24"/>
  <c r="U24" i="24"/>
  <c r="S24" i="24"/>
  <c r="U29" i="24"/>
  <c r="P29" i="24"/>
  <c r="S29" i="24"/>
  <c r="Q29" i="24"/>
  <c r="R29" i="24"/>
  <c r="W29" i="24"/>
  <c r="U12" i="24"/>
  <c r="P12" i="24"/>
  <c r="Q12" i="24"/>
  <c r="S12" i="24"/>
  <c r="R12" i="24"/>
  <c r="W12" i="24"/>
  <c r="U16" i="24"/>
  <c r="P16" i="24"/>
  <c r="S16" i="24"/>
  <c r="R16" i="24"/>
  <c r="W16" i="24"/>
  <c r="Q16" i="24"/>
  <c r="U19" i="24"/>
  <c r="P19" i="24"/>
  <c r="S19" i="24"/>
  <c r="Q19" i="24"/>
  <c r="R19" i="24"/>
  <c r="W19" i="24"/>
  <c r="R22" i="24"/>
  <c r="W22" i="24"/>
  <c r="Q22" i="24"/>
  <c r="P22" i="24"/>
  <c r="U22" i="24"/>
  <c r="S22" i="24"/>
  <c r="U25" i="24"/>
  <c r="P25" i="24"/>
  <c r="S25" i="24"/>
  <c r="W25" i="24"/>
  <c r="R25" i="24"/>
  <c r="Q25" i="24"/>
  <c r="U31" i="24"/>
  <c r="P31" i="24"/>
  <c r="S31" i="24"/>
  <c r="Q31" i="24"/>
  <c r="R31" i="24"/>
  <c r="W31" i="24"/>
  <c r="W39" i="24"/>
  <c r="Q39" i="24"/>
  <c r="U39" i="24"/>
  <c r="P39" i="24"/>
  <c r="S39" i="24"/>
  <c r="R39" i="24"/>
  <c r="Q38" i="24"/>
  <c r="U10" i="24"/>
  <c r="P10" i="24"/>
  <c r="S10" i="24"/>
  <c r="R10" i="24"/>
  <c r="W10" i="24"/>
  <c r="Q10" i="24"/>
  <c r="U14" i="24"/>
  <c r="P14" i="24"/>
  <c r="Q14" i="24"/>
  <c r="S14" i="24"/>
  <c r="R14" i="24"/>
  <c r="W14" i="24"/>
  <c r="U27" i="24"/>
  <c r="P27" i="24"/>
  <c r="S27" i="24"/>
  <c r="Q27" i="24"/>
  <c r="R27" i="24"/>
  <c r="W27" i="24"/>
  <c r="R11" i="24"/>
  <c r="P11" i="24"/>
  <c r="S11" i="24"/>
  <c r="W11" i="24"/>
  <c r="Q11" i="24"/>
  <c r="U11" i="24"/>
  <c r="U21" i="24"/>
  <c r="P21" i="24"/>
  <c r="S21" i="24"/>
  <c r="R21" i="24"/>
  <c r="W21" i="24"/>
  <c r="Q21" i="24"/>
  <c r="W35" i="24"/>
  <c r="U35" i="24"/>
  <c r="P35" i="24"/>
  <c r="Q35" i="24"/>
  <c r="R35" i="24"/>
  <c r="S35" i="24"/>
  <c r="S34" i="24"/>
  <c r="U8" i="24"/>
  <c r="P8" i="24"/>
  <c r="S8" i="24"/>
  <c r="R8" i="24"/>
  <c r="Q8" i="24"/>
  <c r="W8" i="24"/>
  <c r="U6" i="24"/>
  <c r="P6" i="24"/>
  <c r="S6" i="24"/>
  <c r="R6" i="24"/>
  <c r="W6" i="24"/>
  <c r="Q6" i="24"/>
  <c r="R9" i="24"/>
  <c r="U9" i="24"/>
  <c r="P9" i="24"/>
  <c r="S9" i="24"/>
  <c r="W9" i="24"/>
  <c r="Q9" i="24"/>
  <c r="R13" i="24"/>
  <c r="S13" i="24"/>
  <c r="W13" i="24"/>
  <c r="Q13" i="24"/>
  <c r="U13" i="24"/>
  <c r="P13" i="24"/>
  <c r="U17" i="24"/>
  <c r="R17" i="24"/>
  <c r="Q17" i="24"/>
  <c r="W17" i="24"/>
  <c r="P17" i="24"/>
  <c r="S17" i="24"/>
  <c r="R26" i="24"/>
  <c r="W26" i="24"/>
  <c r="Q26" i="24"/>
  <c r="S26" i="24"/>
  <c r="P26" i="24"/>
  <c r="U26" i="24"/>
  <c r="U33" i="24"/>
  <c r="W33" i="24"/>
  <c r="P33" i="24"/>
  <c r="S33" i="24"/>
  <c r="Q33" i="24"/>
  <c r="R33" i="24"/>
  <c r="R20" i="24"/>
  <c r="W20" i="24"/>
  <c r="Q20" i="24"/>
  <c r="U23" i="24"/>
  <c r="P23" i="24"/>
  <c r="S23" i="24"/>
  <c r="S40" i="24"/>
  <c r="R40" i="24"/>
  <c r="Q40" i="24"/>
  <c r="P40" i="24"/>
  <c r="P20" i="24"/>
  <c r="Q23" i="24"/>
  <c r="R28" i="24"/>
  <c r="W28" i="24"/>
  <c r="Q28" i="24"/>
  <c r="R30" i="24"/>
  <c r="W30" i="24"/>
  <c r="Q30" i="24"/>
  <c r="R32" i="24"/>
  <c r="W32" i="24"/>
  <c r="Q32" i="24"/>
  <c r="W37" i="24"/>
  <c r="Q37" i="24"/>
  <c r="U37" i="24"/>
  <c r="P37" i="24"/>
  <c r="R37" i="24"/>
  <c r="U40" i="24"/>
  <c r="W41" i="24"/>
  <c r="Q41" i="24"/>
  <c r="U41" i="24"/>
  <c r="P41" i="24"/>
  <c r="S41" i="24"/>
  <c r="W44" i="24"/>
  <c r="Q44" i="24"/>
  <c r="U44" i="24"/>
  <c r="P44" i="24"/>
  <c r="S44" i="24"/>
  <c r="S20" i="24"/>
  <c r="R23" i="24"/>
  <c r="P28" i="24"/>
  <c r="P30" i="24"/>
  <c r="P32" i="24"/>
  <c r="R34" i="24"/>
  <c r="W34" i="24"/>
  <c r="P34" i="24"/>
  <c r="U34" i="24"/>
  <c r="S37" i="24"/>
  <c r="W40" i="24"/>
  <c r="R41" i="24"/>
  <c r="R44" i="24"/>
  <c r="R18" i="24"/>
  <c r="W18" i="24"/>
  <c r="U18" i="24"/>
  <c r="P18" i="24"/>
  <c r="S18" i="24"/>
  <c r="U20" i="24"/>
  <c r="W23" i="24"/>
  <c r="S28" i="24"/>
  <c r="S30" i="24"/>
  <c r="S32" i="24"/>
  <c r="Q34" i="24"/>
  <c r="Q36" i="24"/>
  <c r="S42" i="24"/>
  <c r="R42" i="24"/>
  <c r="U42" i="24"/>
  <c r="Q42" i="24"/>
  <c r="S45" i="24"/>
  <c r="R45" i="24"/>
  <c r="U45" i="24"/>
  <c r="Q45" i="24"/>
  <c r="S38" i="24"/>
  <c r="R38" i="24"/>
  <c r="W38" i="24"/>
  <c r="S36" i="24"/>
  <c r="R36" i="24"/>
  <c r="W36" i="24"/>
  <c r="S43" i="24"/>
  <c r="R43" i="24"/>
  <c r="W46" i="24"/>
  <c r="Q46" i="24"/>
  <c r="U46" i="24"/>
  <c r="P46" i="24"/>
  <c r="S51" i="24"/>
  <c r="R51" i="24"/>
  <c r="W51" i="24"/>
  <c r="F153" i="26" l="1"/>
  <c r="G152" i="26"/>
  <c r="F45" i="23"/>
  <c r="G44" i="23"/>
  <c r="AA46" i="13" l="1"/>
  <c r="AC46" i="13"/>
  <c r="F154" i="26"/>
  <c r="G153" i="26"/>
  <c r="C35" i="25"/>
  <c r="E35" i="25" s="1"/>
  <c r="F35" i="25" s="1"/>
  <c r="G45" i="23"/>
  <c r="F46" i="23"/>
  <c r="F155" i="26" l="1"/>
  <c r="G154" i="26"/>
  <c r="F47" i="23"/>
  <c r="G46" i="23"/>
  <c r="E14" i="13"/>
  <c r="G14" i="13" s="1"/>
  <c r="F156" i="26" l="1"/>
  <c r="G155" i="26"/>
  <c r="N14" i="13"/>
  <c r="F48" i="23"/>
  <c r="G47" i="23"/>
  <c r="F13" i="19" l="1"/>
  <c r="G44" i="15" s="1"/>
  <c r="AA17" i="13"/>
  <c r="AC17" i="13"/>
  <c r="F157" i="26"/>
  <c r="G156" i="26"/>
  <c r="C58" i="25"/>
  <c r="E58" i="25" s="1"/>
  <c r="F58" i="25" s="1"/>
  <c r="F49" i="23"/>
  <c r="G48" i="23"/>
  <c r="E40" i="13"/>
  <c r="G40" i="13" s="1"/>
  <c r="N40" i="13" s="1"/>
  <c r="F39" i="19" s="1"/>
  <c r="E54" i="13"/>
  <c r="G54" i="13" s="1"/>
  <c r="N11" i="13"/>
  <c r="F10" i="19" s="1"/>
  <c r="G57" i="15" s="1"/>
  <c r="F7" i="19" l="1"/>
  <c r="AC11" i="13"/>
  <c r="AA11" i="13"/>
  <c r="AC40" i="13"/>
  <c r="AA40" i="13"/>
  <c r="AA7" i="13"/>
  <c r="AC7" i="13"/>
  <c r="AC38" i="13"/>
  <c r="AA38" i="13"/>
  <c r="AC33" i="13"/>
  <c r="AA30" i="13"/>
  <c r="AC30" i="13"/>
  <c r="AC32" i="13"/>
  <c r="AA32" i="13"/>
  <c r="AA33" i="13"/>
  <c r="F158" i="26"/>
  <c r="G157" i="26"/>
  <c r="N49" i="13"/>
  <c r="F48" i="19" s="1"/>
  <c r="G52" i="15" s="1"/>
  <c r="F50" i="23"/>
  <c r="G49" i="23"/>
  <c r="N26" i="13"/>
  <c r="F25" i="19" s="1"/>
  <c r="G45" i="15" s="1"/>
  <c r="N54" i="13"/>
  <c r="F53" i="19" s="1"/>
  <c r="G32" i="15" l="1"/>
  <c r="H32" i="15" s="1"/>
  <c r="AA49" i="13"/>
  <c r="AC49" i="13"/>
  <c r="AC26" i="13"/>
  <c r="AA26" i="13"/>
  <c r="AC61" i="13"/>
  <c r="AC47" i="13"/>
  <c r="AA47" i="13"/>
  <c r="AA20" i="13"/>
  <c r="AC20" i="13"/>
  <c r="AC60" i="13"/>
  <c r="AC57" i="13"/>
  <c r="AC39" i="13"/>
  <c r="AA39" i="13"/>
  <c r="AC28" i="13"/>
  <c r="AA57" i="13"/>
  <c r="AA28" i="13"/>
  <c r="C27" i="25"/>
  <c r="E27" i="25" s="1"/>
  <c r="F27" i="25" s="1"/>
  <c r="F159" i="26"/>
  <c r="G158" i="26"/>
  <c r="AA60" i="13"/>
  <c r="C19" i="25"/>
  <c r="E19" i="25" s="1"/>
  <c r="F19" i="25" s="1"/>
  <c r="C52" i="25"/>
  <c r="E52" i="25" s="1"/>
  <c r="F52" i="25" s="1"/>
  <c r="C6" i="25"/>
  <c r="E6" i="25" s="1"/>
  <c r="F6" i="25" s="1"/>
  <c r="F51" i="23"/>
  <c r="G50" i="23"/>
  <c r="F160" i="26" l="1"/>
  <c r="G159" i="26"/>
  <c r="F52" i="23"/>
  <c r="G51" i="23"/>
  <c r="F161" i="26" l="1"/>
  <c r="G160" i="26"/>
  <c r="F53" i="23"/>
  <c r="G52" i="23"/>
  <c r="D3" i="21"/>
  <c r="D4" i="21"/>
  <c r="D5" i="21"/>
  <c r="D6" i="21"/>
  <c r="D7" i="21"/>
  <c r="D8" i="21"/>
  <c r="D9" i="21"/>
  <c r="D11" i="21"/>
  <c r="C5" i="21"/>
  <c r="C6" i="21"/>
  <c r="G6" i="21" s="1"/>
  <c r="C8" i="21"/>
  <c r="C9" i="21"/>
  <c r="C11" i="21"/>
  <c r="G11" i="21" s="1"/>
  <c r="G9" i="21" l="1"/>
  <c r="G8" i="21"/>
  <c r="G5" i="21"/>
  <c r="F162" i="26"/>
  <c r="G161" i="26"/>
  <c r="F54" i="23"/>
  <c r="G53" i="23"/>
  <c r="F163" i="26" l="1"/>
  <c r="G162" i="26"/>
  <c r="F55" i="23"/>
  <c r="G54" i="23"/>
  <c r="N51" i="13"/>
  <c r="F50" i="19" s="1"/>
  <c r="N23" i="13"/>
  <c r="F22" i="19" s="1"/>
  <c r="G65" i="15" l="1"/>
  <c r="H65" i="15" s="1"/>
  <c r="G46" i="15"/>
  <c r="F27" i="19"/>
  <c r="AA23" i="13"/>
  <c r="AC23" i="13"/>
  <c r="AA31" i="13"/>
  <c r="AC31" i="13"/>
  <c r="AC27" i="13"/>
  <c r="AC29" i="13"/>
  <c r="AA27" i="13"/>
  <c r="AA29" i="13"/>
  <c r="F164" i="26"/>
  <c r="G163" i="26"/>
  <c r="C30" i="25"/>
  <c r="E30" i="25" s="1"/>
  <c r="F30" i="25" s="1"/>
  <c r="F56" i="23"/>
  <c r="G55" i="23"/>
  <c r="E110" i="13"/>
  <c r="G110" i="13" s="1"/>
  <c r="K110" i="13" s="1"/>
  <c r="G71" i="15" l="1"/>
  <c r="H71" i="15" s="1"/>
  <c r="F166" i="26"/>
  <c r="F165" i="26"/>
  <c r="G164" i="26"/>
  <c r="F57" i="23"/>
  <c r="G56" i="23"/>
  <c r="E108" i="13"/>
  <c r="G108" i="13" s="1"/>
  <c r="K108" i="13" s="1"/>
  <c r="AC114" i="13" l="1"/>
  <c r="AA114" i="13"/>
  <c r="G165" i="26"/>
  <c r="F167" i="26"/>
  <c r="G166" i="26"/>
  <c r="F58" i="23"/>
  <c r="G57" i="23"/>
  <c r="F168" i="26" l="1"/>
  <c r="G167" i="26"/>
  <c r="C45" i="25"/>
  <c r="E45" i="25" s="1"/>
  <c r="F45" i="25" s="1"/>
  <c r="F59" i="23"/>
  <c r="G58" i="23"/>
  <c r="R7" i="22"/>
  <c r="S7" i="22" s="1"/>
  <c r="R10" i="22"/>
  <c r="S10" i="22" s="1"/>
  <c r="R11" i="22"/>
  <c r="S11" i="22" s="1"/>
  <c r="R12" i="22"/>
  <c r="S12" i="22" s="1"/>
  <c r="R13" i="22"/>
  <c r="S13" i="22" s="1"/>
  <c r="R14" i="22"/>
  <c r="S14" i="22" s="1"/>
  <c r="R15" i="22"/>
  <c r="S15" i="22" s="1"/>
  <c r="R16" i="22"/>
  <c r="S16" i="22" s="1"/>
  <c r="R17" i="22"/>
  <c r="S17" i="22" s="1"/>
  <c r="R18" i="22"/>
  <c r="S18" i="22" s="1"/>
  <c r="R19" i="22"/>
  <c r="S19" i="22" s="1"/>
  <c r="R20" i="22"/>
  <c r="S20" i="22" s="1"/>
  <c r="R22" i="22"/>
  <c r="S22" i="22" s="1"/>
  <c r="R24" i="22"/>
  <c r="S24" i="22" s="1"/>
  <c r="R26" i="22"/>
  <c r="S26" i="22" s="1"/>
  <c r="R28" i="22"/>
  <c r="S28" i="22" s="1"/>
  <c r="R30" i="22"/>
  <c r="S30" i="22" s="1"/>
  <c r="R32" i="22"/>
  <c r="S32" i="22" s="1"/>
  <c r="R33" i="22"/>
  <c r="S33" i="22" s="1"/>
  <c r="R34" i="22"/>
  <c r="S34" i="22" s="1"/>
  <c r="R35" i="22"/>
  <c r="S35" i="22" s="1"/>
  <c r="R36" i="22"/>
  <c r="S36" i="22" s="1"/>
  <c r="R37" i="22"/>
  <c r="S37" i="22" s="1"/>
  <c r="R39" i="22"/>
  <c r="S39" i="22" s="1"/>
  <c r="R41" i="22"/>
  <c r="S41" i="22" s="1"/>
  <c r="R43" i="22"/>
  <c r="S43" i="22" s="1"/>
  <c r="R45" i="22"/>
  <c r="S45" i="22" s="1"/>
  <c r="R47" i="22"/>
  <c r="S47" i="22" s="1"/>
  <c r="R49" i="22"/>
  <c r="S49" i="22" s="1"/>
  <c r="R51" i="22"/>
  <c r="S51" i="22" s="1"/>
  <c r="R55" i="22"/>
  <c r="S55" i="22" s="1"/>
  <c r="R59" i="22"/>
  <c r="S59" i="22" s="1"/>
  <c r="R60" i="22"/>
  <c r="S60" i="22" s="1"/>
  <c r="R62" i="22"/>
  <c r="S62" i="22" s="1"/>
  <c r="R63" i="22"/>
  <c r="S63" i="22" s="1"/>
  <c r="R65" i="22"/>
  <c r="S65" i="22" s="1"/>
  <c r="R67" i="22"/>
  <c r="S67" i="22" s="1"/>
  <c r="R68" i="22"/>
  <c r="S68" i="22" s="1"/>
  <c r="R69" i="22"/>
  <c r="S69" i="22" s="1"/>
  <c r="R70" i="22"/>
  <c r="S70" i="22" s="1"/>
  <c r="R71" i="22"/>
  <c r="S71" i="22" s="1"/>
  <c r="R72" i="22"/>
  <c r="S72" i="22" s="1"/>
  <c r="R74" i="22"/>
  <c r="S74" i="22" s="1"/>
  <c r="R77" i="22"/>
  <c r="S77" i="22" s="1"/>
  <c r="R78" i="22"/>
  <c r="S78" i="22" s="1"/>
  <c r="R82" i="22"/>
  <c r="S82" i="22" s="1"/>
  <c r="R86" i="22"/>
  <c r="S86" i="22" s="1"/>
  <c r="R88" i="22"/>
  <c r="S88" i="22" s="1"/>
  <c r="R89" i="22"/>
  <c r="S89" i="22" s="1"/>
  <c r="R90" i="22"/>
  <c r="S90" i="22" s="1"/>
  <c r="R91" i="22"/>
  <c r="S91" i="22" s="1"/>
  <c r="R92" i="22"/>
  <c r="S92" i="22" s="1"/>
  <c r="R95" i="22"/>
  <c r="S95" i="22" s="1"/>
  <c r="R96" i="22"/>
  <c r="S96" i="22" s="1"/>
  <c r="R100" i="22"/>
  <c r="S100" i="22" s="1"/>
  <c r="R104" i="22"/>
  <c r="S104" i="22" s="1"/>
  <c r="R108" i="22"/>
  <c r="S108" i="22" s="1"/>
  <c r="R112" i="22"/>
  <c r="S112" i="22" s="1"/>
  <c r="R116" i="22"/>
  <c r="S116" i="22" s="1"/>
  <c r="R118" i="22"/>
  <c r="S118" i="22" s="1"/>
  <c r="R120" i="22"/>
  <c r="S120" i="22" s="1"/>
  <c r="R122" i="22"/>
  <c r="S122" i="22" s="1"/>
  <c r="R124" i="22"/>
  <c r="S124" i="22" s="1"/>
  <c r="R126" i="22"/>
  <c r="S126" i="22" s="1"/>
  <c r="R128" i="22"/>
  <c r="S128" i="22" s="1"/>
  <c r="R130" i="22"/>
  <c r="S130" i="22" s="1"/>
  <c r="R132" i="22"/>
  <c r="S132" i="22" s="1"/>
  <c r="R133" i="22"/>
  <c r="S133" i="22" s="1"/>
  <c r="R134" i="22"/>
  <c r="S134" i="22" s="1"/>
  <c r="R136" i="22"/>
  <c r="S136" i="22" s="1"/>
  <c r="R138" i="22"/>
  <c r="S138" i="22" s="1"/>
  <c r="R140" i="22"/>
  <c r="S140" i="22" s="1"/>
  <c r="R142" i="22"/>
  <c r="S142" i="22" s="1"/>
  <c r="R143" i="22"/>
  <c r="S143" i="22" s="1"/>
  <c r="R144" i="22"/>
  <c r="S144" i="22" s="1"/>
  <c r="R146" i="22"/>
  <c r="S146" i="22" s="1"/>
  <c r="R147" i="22"/>
  <c r="S147" i="22" s="1"/>
  <c r="R148" i="22"/>
  <c r="S148" i="22" s="1"/>
  <c r="R149" i="22"/>
  <c r="S149" i="22" s="1"/>
  <c r="R150" i="22"/>
  <c r="S150" i="22" s="1"/>
  <c r="R151" i="22"/>
  <c r="S151" i="22" s="1"/>
  <c r="R152" i="22"/>
  <c r="S152" i="22" s="1"/>
  <c r="R154" i="22"/>
  <c r="S154" i="22" s="1"/>
  <c r="R155" i="22"/>
  <c r="S155" i="22" s="1"/>
  <c r="R156" i="22"/>
  <c r="S156" i="22" s="1"/>
  <c r="R160" i="22"/>
  <c r="S160" i="22" s="1"/>
  <c r="R164" i="22"/>
  <c r="S164" i="22" s="1"/>
  <c r="R168" i="22"/>
  <c r="S168" i="22" s="1"/>
  <c r="R169" i="22"/>
  <c r="S169" i="22" s="1"/>
  <c r="R171" i="22"/>
  <c r="S171" i="22" s="1"/>
  <c r="R172" i="22"/>
  <c r="S172" i="22" s="1"/>
  <c r="R174" i="22"/>
  <c r="S174" i="22" s="1"/>
  <c r="R175" i="22"/>
  <c r="S175" i="22" s="1"/>
  <c r="R177" i="22"/>
  <c r="S177" i="22" s="1"/>
  <c r="R179" i="22"/>
  <c r="S179" i="22" s="1"/>
  <c r="R181" i="22"/>
  <c r="S181" i="22" s="1"/>
  <c r="R183" i="22"/>
  <c r="S183" i="22" s="1"/>
  <c r="R6" i="22"/>
  <c r="S6" i="22" s="1"/>
  <c r="F169" i="26" l="1"/>
  <c r="G168" i="26"/>
  <c r="F62" i="23"/>
  <c r="F60" i="23"/>
  <c r="G59" i="23"/>
  <c r="A201" i="22"/>
  <c r="A202" i="22" s="1"/>
  <c r="A203" i="22" s="1"/>
  <c r="A204" i="22" s="1"/>
  <c r="A205" i="22" s="1"/>
  <c r="A206" i="22" s="1"/>
  <c r="A189" i="22"/>
  <c r="A188" i="22"/>
  <c r="E183" i="22"/>
  <c r="D182" i="22"/>
  <c r="C182" i="22"/>
  <c r="R182" i="22" s="1"/>
  <c r="S182" i="22" s="1"/>
  <c r="E181" i="22"/>
  <c r="M180" i="22"/>
  <c r="D180" i="22"/>
  <c r="C180" i="22"/>
  <c r="E179" i="22"/>
  <c r="M178" i="22"/>
  <c r="D178" i="22"/>
  <c r="C178" i="22"/>
  <c r="E177" i="22"/>
  <c r="M176" i="22"/>
  <c r="D176" i="22"/>
  <c r="C176" i="22"/>
  <c r="E175" i="22"/>
  <c r="E174" i="22"/>
  <c r="K173" i="22"/>
  <c r="D173" i="22"/>
  <c r="C173" i="22"/>
  <c r="E172" i="22"/>
  <c r="E171" i="22"/>
  <c r="M170" i="22"/>
  <c r="D170" i="22"/>
  <c r="C170" i="22"/>
  <c r="R170" i="22" s="1"/>
  <c r="S170" i="22" s="1"/>
  <c r="E169" i="22"/>
  <c r="E168" i="22"/>
  <c r="M165" i="22"/>
  <c r="D165" i="22"/>
  <c r="D166" i="22" s="1"/>
  <c r="D167" i="22" s="1"/>
  <c r="C165" i="22"/>
  <c r="R165" i="22" s="1"/>
  <c r="S165" i="22" s="1"/>
  <c r="E164" i="22"/>
  <c r="C162" i="22"/>
  <c r="R162" i="22" s="1"/>
  <c r="S162" i="22" s="1"/>
  <c r="M161" i="22"/>
  <c r="D161" i="22"/>
  <c r="D162" i="22" s="1"/>
  <c r="D163" i="22" s="1"/>
  <c r="C161" i="22"/>
  <c r="R161" i="22" s="1"/>
  <c r="S161" i="22" s="1"/>
  <c r="E160" i="22"/>
  <c r="M157" i="22"/>
  <c r="D157" i="22"/>
  <c r="D158" i="22" s="1"/>
  <c r="D159" i="22" s="1"/>
  <c r="C157" i="22"/>
  <c r="R157" i="22" s="1"/>
  <c r="S157" i="22" s="1"/>
  <c r="E156" i="22"/>
  <c r="E155" i="22"/>
  <c r="E154" i="22"/>
  <c r="M153" i="22"/>
  <c r="D153" i="22"/>
  <c r="C153" i="22"/>
  <c r="E152" i="22"/>
  <c r="E151" i="22"/>
  <c r="E150" i="22"/>
  <c r="E149" i="22"/>
  <c r="E148" i="22"/>
  <c r="E147" i="22"/>
  <c r="E146" i="22"/>
  <c r="M145" i="22"/>
  <c r="D145" i="22"/>
  <c r="C145" i="22"/>
  <c r="E144" i="22"/>
  <c r="E143" i="22"/>
  <c r="E142" i="22"/>
  <c r="D141" i="22"/>
  <c r="C141" i="22"/>
  <c r="R141" i="22" s="1"/>
  <c r="S141" i="22" s="1"/>
  <c r="E140" i="22"/>
  <c r="D139" i="22"/>
  <c r="C139" i="22"/>
  <c r="R139" i="22" s="1"/>
  <c r="S139" i="22" s="1"/>
  <c r="E138" i="22"/>
  <c r="D137" i="22"/>
  <c r="C137" i="22"/>
  <c r="E136" i="22"/>
  <c r="D135" i="22"/>
  <c r="C135" i="22"/>
  <c r="E134" i="22"/>
  <c r="E133" i="22"/>
  <c r="E132" i="22"/>
  <c r="C131" i="22"/>
  <c r="R131" i="22" s="1"/>
  <c r="S131" i="22" s="1"/>
  <c r="E130" i="22"/>
  <c r="C129" i="22"/>
  <c r="R129" i="22" s="1"/>
  <c r="S129" i="22" s="1"/>
  <c r="E128" i="22"/>
  <c r="C127" i="22"/>
  <c r="R127" i="22" s="1"/>
  <c r="S127" i="22" s="1"/>
  <c r="E126" i="22"/>
  <c r="M125" i="22"/>
  <c r="C125" i="22"/>
  <c r="R125" i="22" s="1"/>
  <c r="S125" i="22" s="1"/>
  <c r="E124" i="22"/>
  <c r="C123" i="22"/>
  <c r="R123" i="22" s="1"/>
  <c r="S123" i="22" s="1"/>
  <c r="E122" i="22"/>
  <c r="C121" i="22"/>
  <c r="R121" i="22" s="1"/>
  <c r="S121" i="22" s="1"/>
  <c r="E120" i="22"/>
  <c r="C119" i="22"/>
  <c r="R119" i="22" s="1"/>
  <c r="S119" i="22" s="1"/>
  <c r="E118" i="22"/>
  <c r="M117" i="22"/>
  <c r="C117" i="22"/>
  <c r="R117" i="22" s="1"/>
  <c r="S117" i="22" s="1"/>
  <c r="E116" i="22"/>
  <c r="H114" i="22"/>
  <c r="H115" i="22" s="1"/>
  <c r="B114" i="22"/>
  <c r="B115" i="22" s="1"/>
  <c r="D113" i="22"/>
  <c r="D114" i="22" s="1"/>
  <c r="D115" i="22" s="1"/>
  <c r="C113" i="22"/>
  <c r="E112" i="22"/>
  <c r="D109" i="22"/>
  <c r="C109" i="22"/>
  <c r="E108" i="22"/>
  <c r="D105" i="22"/>
  <c r="D106" i="22" s="1"/>
  <c r="D107" i="22" s="1"/>
  <c r="C105" i="22"/>
  <c r="R105" i="22" s="1"/>
  <c r="S105" i="22" s="1"/>
  <c r="E104" i="22"/>
  <c r="D101" i="22"/>
  <c r="D102" i="22" s="1"/>
  <c r="D103" i="22" s="1"/>
  <c r="C101" i="22"/>
  <c r="R101" i="22" s="1"/>
  <c r="S101" i="22" s="1"/>
  <c r="A101" i="22"/>
  <c r="A102" i="22" s="1"/>
  <c r="A104" i="22" s="1"/>
  <c r="A105" i="22" s="1"/>
  <c r="A106" i="22" s="1"/>
  <c r="E100" i="22"/>
  <c r="H99" i="22"/>
  <c r="D97" i="22"/>
  <c r="D98" i="22" s="1"/>
  <c r="D99" i="22" s="1"/>
  <c r="C97" i="22"/>
  <c r="E96" i="22"/>
  <c r="E95" i="22"/>
  <c r="D93" i="22"/>
  <c r="D94" i="22" s="1"/>
  <c r="C93" i="22"/>
  <c r="R93" i="22" s="1"/>
  <c r="S93" i="22" s="1"/>
  <c r="E92" i="22"/>
  <c r="G92" i="22" s="1"/>
  <c r="E91" i="22"/>
  <c r="G91" i="22" s="1"/>
  <c r="E90" i="22"/>
  <c r="G90" i="22" s="1"/>
  <c r="E89" i="22"/>
  <c r="G89" i="22" s="1"/>
  <c r="E88" i="22"/>
  <c r="D87" i="22"/>
  <c r="C87" i="22"/>
  <c r="E86" i="22"/>
  <c r="B84" i="22"/>
  <c r="D83" i="22"/>
  <c r="D84" i="22" s="1"/>
  <c r="D85" i="22" s="1"/>
  <c r="C83" i="22"/>
  <c r="R83" i="22" s="1"/>
  <c r="S83" i="22" s="1"/>
  <c r="E82" i="22"/>
  <c r="B80" i="22"/>
  <c r="D79" i="22"/>
  <c r="D80" i="22" s="1"/>
  <c r="D81" i="22" s="1"/>
  <c r="C79" i="22"/>
  <c r="R79" i="22" s="1"/>
  <c r="S79" i="22" s="1"/>
  <c r="E78" i="22"/>
  <c r="E77" i="22"/>
  <c r="G77" i="22" s="1"/>
  <c r="C75" i="22"/>
  <c r="E75" i="22" s="1"/>
  <c r="G75" i="22" s="1"/>
  <c r="E74" i="22"/>
  <c r="G74" i="22" s="1"/>
  <c r="L73" i="22"/>
  <c r="D73" i="22"/>
  <c r="C73" i="22"/>
  <c r="R73" i="22" s="1"/>
  <c r="S73" i="22" s="1"/>
  <c r="E72" i="22"/>
  <c r="E71" i="22"/>
  <c r="G71" i="22" s="1"/>
  <c r="I70" i="22"/>
  <c r="E70" i="22"/>
  <c r="G70" i="22" s="1"/>
  <c r="E69" i="22"/>
  <c r="G69" i="22" s="1"/>
  <c r="E68" i="22"/>
  <c r="G68" i="22" s="1"/>
  <c r="E67" i="22"/>
  <c r="D66" i="22"/>
  <c r="C66" i="22"/>
  <c r="E65" i="22"/>
  <c r="D64" i="22"/>
  <c r="C64" i="22"/>
  <c r="R64" i="22" s="1"/>
  <c r="S64" i="22" s="1"/>
  <c r="E63" i="22"/>
  <c r="E62" i="22"/>
  <c r="G62" i="22" s="1"/>
  <c r="D61" i="22"/>
  <c r="C61" i="22"/>
  <c r="R61" i="22" s="1"/>
  <c r="S61" i="22" s="1"/>
  <c r="E60" i="22"/>
  <c r="I59" i="22"/>
  <c r="E59" i="22"/>
  <c r="B57" i="22"/>
  <c r="D56" i="22"/>
  <c r="C56" i="22"/>
  <c r="R56" i="22" s="1"/>
  <c r="S56" i="22" s="1"/>
  <c r="E55" i="22"/>
  <c r="B53" i="22"/>
  <c r="B54" i="22" s="1"/>
  <c r="D52" i="22"/>
  <c r="D53" i="22" s="1"/>
  <c r="D54" i="22" s="1"/>
  <c r="C52" i="22"/>
  <c r="R52" i="22" s="1"/>
  <c r="S52" i="22" s="1"/>
  <c r="E51" i="22"/>
  <c r="H50" i="22"/>
  <c r="D50" i="22"/>
  <c r="C50" i="22"/>
  <c r="R50" i="22" s="1"/>
  <c r="S50" i="22" s="1"/>
  <c r="E49" i="22"/>
  <c r="D48" i="22"/>
  <c r="C48" i="22"/>
  <c r="R48" i="22" s="1"/>
  <c r="S48" i="22" s="1"/>
  <c r="E47" i="22"/>
  <c r="D46" i="22"/>
  <c r="C46" i="22"/>
  <c r="E45" i="22"/>
  <c r="D44" i="22"/>
  <c r="C44" i="22"/>
  <c r="E43" i="22"/>
  <c r="D42" i="22"/>
  <c r="C42" i="22"/>
  <c r="R42" i="22" s="1"/>
  <c r="S42" i="22" s="1"/>
  <c r="E41" i="22"/>
  <c r="C40" i="22"/>
  <c r="R40" i="22" s="1"/>
  <c r="S40" i="22" s="1"/>
  <c r="D39" i="22"/>
  <c r="E39" i="22" s="1"/>
  <c r="D38" i="22"/>
  <c r="C38" i="22"/>
  <c r="R38" i="22" s="1"/>
  <c r="S38" i="22" s="1"/>
  <c r="E37" i="22"/>
  <c r="E36" i="22"/>
  <c r="E35" i="22"/>
  <c r="G35" i="22" s="1"/>
  <c r="E34" i="22"/>
  <c r="G34" i="22" s="1"/>
  <c r="E33" i="22"/>
  <c r="I32" i="22"/>
  <c r="E32" i="22"/>
  <c r="G32" i="22" s="1"/>
  <c r="P31" i="22"/>
  <c r="C31" i="22"/>
  <c r="R31" i="22" s="1"/>
  <c r="S31" i="22" s="1"/>
  <c r="E30" i="22"/>
  <c r="G30" i="22" s="1"/>
  <c r="D29" i="22"/>
  <c r="C29" i="22"/>
  <c r="E28" i="22"/>
  <c r="D27" i="22"/>
  <c r="C27" i="22"/>
  <c r="R27" i="22" s="1"/>
  <c r="S27" i="22" s="1"/>
  <c r="E26" i="22"/>
  <c r="D25" i="22"/>
  <c r="C25" i="22"/>
  <c r="R25" i="22" s="1"/>
  <c r="S25" i="22" s="1"/>
  <c r="E24" i="22"/>
  <c r="D23" i="22"/>
  <c r="C23" i="22"/>
  <c r="E22" i="22"/>
  <c r="H21" i="22"/>
  <c r="D21" i="22"/>
  <c r="C21" i="22"/>
  <c r="A21" i="22"/>
  <c r="A22" i="22" s="1"/>
  <c r="A23" i="22" s="1"/>
  <c r="A24" i="22" s="1"/>
  <c r="A25" i="22" s="1"/>
  <c r="A26" i="22" s="1"/>
  <c r="A27" i="22" s="1"/>
  <c r="A28" i="22" s="1"/>
  <c r="A29" i="22" s="1"/>
  <c r="A30" i="22" s="1"/>
  <c r="A31" i="22" s="1"/>
  <c r="A32" i="22" s="1"/>
  <c r="A33" i="22" s="1"/>
  <c r="A34" i="22" s="1"/>
  <c r="A35" i="22" s="1"/>
  <c r="A36" i="22" s="1"/>
  <c r="A37" i="22" s="1"/>
  <c r="A38" i="22" s="1"/>
  <c r="A39" i="22" s="1"/>
  <c r="A40" i="22" s="1"/>
  <c r="A41" i="22" s="1"/>
  <c r="A42" i="22" s="1"/>
  <c r="A43" i="22" s="1"/>
  <c r="A44" i="22" s="1"/>
  <c r="E20" i="22"/>
  <c r="E19" i="22"/>
  <c r="F18" i="22"/>
  <c r="F19" i="22" s="1"/>
  <c r="F20" i="22" s="1"/>
  <c r="F21" i="22" s="1"/>
  <c r="F22" i="22" s="1"/>
  <c r="E18" i="22"/>
  <c r="E17" i="22"/>
  <c r="G17" i="22" s="1"/>
  <c r="E16" i="22"/>
  <c r="G16" i="22" s="1"/>
  <c r="E15" i="22"/>
  <c r="G15" i="22" s="1"/>
  <c r="E14" i="22"/>
  <c r="G14" i="22" s="1"/>
  <c r="E13" i="22"/>
  <c r="G13" i="22" s="1"/>
  <c r="E12" i="22"/>
  <c r="G12" i="22" s="1"/>
  <c r="E11" i="22"/>
  <c r="G11" i="22" s="1"/>
  <c r="A11" i="22"/>
  <c r="A12" i="22" s="1"/>
  <c r="A13" i="22" s="1"/>
  <c r="A14" i="22" s="1"/>
  <c r="E10" i="22"/>
  <c r="G10" i="22" s="1"/>
  <c r="C8" i="22"/>
  <c r="R8" i="22" s="1"/>
  <c r="S8" i="22" s="1"/>
  <c r="E7" i="22"/>
  <c r="G7" i="22" s="1"/>
  <c r="A7" i="22"/>
  <c r="E6" i="22"/>
  <c r="G6" i="22" s="1"/>
  <c r="F170" i="26" l="1"/>
  <c r="G169" i="26"/>
  <c r="F61" i="23"/>
  <c r="G61" i="23" s="1"/>
  <c r="G60" i="23"/>
  <c r="G62" i="23"/>
  <c r="F63" i="23"/>
  <c r="E64" i="22"/>
  <c r="E50" i="22"/>
  <c r="C80" i="22"/>
  <c r="R80" i="22" s="1"/>
  <c r="S80" i="22" s="1"/>
  <c r="C106" i="22"/>
  <c r="R106" i="22" s="1"/>
  <c r="S106" i="22" s="1"/>
  <c r="C166" i="22"/>
  <c r="R166" i="22" s="1"/>
  <c r="S166" i="22" s="1"/>
  <c r="E38" i="22"/>
  <c r="E73" i="22"/>
  <c r="E109" i="22"/>
  <c r="E61" i="22"/>
  <c r="E117" i="22"/>
  <c r="E139" i="22"/>
  <c r="E141" i="22"/>
  <c r="E182" i="22"/>
  <c r="E23" i="22"/>
  <c r="R23" i="22"/>
  <c r="S23" i="22" s="1"/>
  <c r="C76" i="22"/>
  <c r="R75" i="22"/>
  <c r="S75" i="22" s="1"/>
  <c r="C102" i="22"/>
  <c r="R102" i="22" s="1"/>
  <c r="S102" i="22" s="1"/>
  <c r="E105" i="22"/>
  <c r="C110" i="22"/>
  <c r="R109" i="22"/>
  <c r="S109" i="22" s="1"/>
  <c r="D110" i="22"/>
  <c r="D111" i="22" s="1"/>
  <c r="E121" i="22"/>
  <c r="E125" i="22"/>
  <c r="E129" i="22"/>
  <c r="E153" i="22"/>
  <c r="R153" i="22"/>
  <c r="S153" i="22" s="1"/>
  <c r="C163" i="22"/>
  <c r="R163" i="22" s="1"/>
  <c r="S163" i="22" s="1"/>
  <c r="E170" i="22"/>
  <c r="E176" i="22"/>
  <c r="R176" i="22"/>
  <c r="S176" i="22" s="1"/>
  <c r="E180" i="22"/>
  <c r="R180" i="22"/>
  <c r="S180" i="22" s="1"/>
  <c r="C9" i="22"/>
  <c r="E27" i="22"/>
  <c r="E29" i="22"/>
  <c r="R29" i="22"/>
  <c r="S29" i="22" s="1"/>
  <c r="E42" i="22"/>
  <c r="E44" i="22"/>
  <c r="R44" i="22"/>
  <c r="S44" i="22" s="1"/>
  <c r="E52" i="22"/>
  <c r="C98" i="22"/>
  <c r="R97" i="22"/>
  <c r="S97" i="22" s="1"/>
  <c r="E137" i="22"/>
  <c r="R137" i="22"/>
  <c r="S137" i="22" s="1"/>
  <c r="E145" i="22"/>
  <c r="R145" i="22"/>
  <c r="S145" i="22" s="1"/>
  <c r="E21" i="22"/>
  <c r="G21" i="22" s="1"/>
  <c r="R21" i="22"/>
  <c r="S21" i="22" s="1"/>
  <c r="E46" i="22"/>
  <c r="R46" i="22"/>
  <c r="S46" i="22" s="1"/>
  <c r="E87" i="22"/>
  <c r="R87" i="22"/>
  <c r="S87" i="22" s="1"/>
  <c r="C114" i="22"/>
  <c r="R114" i="22" s="1"/>
  <c r="S114" i="22" s="1"/>
  <c r="R113" i="22"/>
  <c r="S113" i="22" s="1"/>
  <c r="E119" i="22"/>
  <c r="E123" i="22"/>
  <c r="E127" i="22"/>
  <c r="E131" i="22"/>
  <c r="E165" i="22"/>
  <c r="E178" i="22"/>
  <c r="R178" i="22"/>
  <c r="S178" i="22" s="1"/>
  <c r="E8" i="22"/>
  <c r="G8" i="22" s="1"/>
  <c r="E31" i="22"/>
  <c r="G31" i="22" s="1"/>
  <c r="C53" i="22"/>
  <c r="R53" i="22" s="1"/>
  <c r="S53" i="22" s="1"/>
  <c r="C57" i="22"/>
  <c r="E66" i="22"/>
  <c r="R66" i="22"/>
  <c r="S66" i="22" s="1"/>
  <c r="E97" i="22"/>
  <c r="E135" i="22"/>
  <c r="R135" i="22"/>
  <c r="S135" i="22" s="1"/>
  <c r="E173" i="22"/>
  <c r="R173" i="22"/>
  <c r="S173" i="22" s="1"/>
  <c r="F23" i="22"/>
  <c r="F24" i="22" s="1"/>
  <c r="G22" i="22"/>
  <c r="G20" i="22"/>
  <c r="A45" i="22"/>
  <c r="A46" i="22" s="1"/>
  <c r="A49" i="22" s="1"/>
  <c r="A50" i="22" s="1"/>
  <c r="A51" i="22" s="1"/>
  <c r="A52" i="22" s="1"/>
  <c r="A53" i="22" s="1"/>
  <c r="A47" i="22"/>
  <c r="A48" i="22" s="1"/>
  <c r="B58" i="22"/>
  <c r="G19" i="22"/>
  <c r="D57" i="22"/>
  <c r="D58" i="22" s="1"/>
  <c r="E56" i="22"/>
  <c r="O70" i="22"/>
  <c r="G18" i="22"/>
  <c r="E25" i="22"/>
  <c r="O32" i="22"/>
  <c r="D40" i="22"/>
  <c r="E40" i="22" s="1"/>
  <c r="E48" i="22"/>
  <c r="B85" i="22"/>
  <c r="C94" i="22"/>
  <c r="E93" i="22"/>
  <c r="G93" i="22" s="1"/>
  <c r="E98" i="22"/>
  <c r="E79" i="22"/>
  <c r="B81" i="22"/>
  <c r="C84" i="22"/>
  <c r="R84" i="22" s="1"/>
  <c r="S84" i="22" s="1"/>
  <c r="E83" i="22"/>
  <c r="E101" i="22"/>
  <c r="A108" i="22"/>
  <c r="A109" i="22" s="1"/>
  <c r="A110" i="22" s="1"/>
  <c r="A107" i="22"/>
  <c r="E113" i="22"/>
  <c r="E157" i="22"/>
  <c r="C158" i="22"/>
  <c r="R158" i="22" s="1"/>
  <c r="S158" i="22" s="1"/>
  <c r="A103" i="22"/>
  <c r="E161" i="22"/>
  <c r="E162" i="22"/>
  <c r="C167" i="22" l="1"/>
  <c r="C107" i="22"/>
  <c r="R107" i="22" s="1"/>
  <c r="S107" i="22" s="1"/>
  <c r="F171" i="26"/>
  <c r="G170" i="26"/>
  <c r="F65" i="23"/>
  <c r="G63" i="23"/>
  <c r="E166" i="22"/>
  <c r="C81" i="22"/>
  <c r="R81" i="22" s="1"/>
  <c r="S81" i="22" s="1"/>
  <c r="E80" i="22"/>
  <c r="E53" i="22"/>
  <c r="E106" i="22"/>
  <c r="E114" i="22"/>
  <c r="C103" i="22"/>
  <c r="R103" i="22" s="1"/>
  <c r="S103" i="22" s="1"/>
  <c r="C115" i="22"/>
  <c r="E115" i="22" s="1"/>
  <c r="E110" i="22"/>
  <c r="E102" i="22"/>
  <c r="E163" i="22"/>
  <c r="E107" i="22"/>
  <c r="C54" i="22"/>
  <c r="R54" i="22" s="1"/>
  <c r="S54" i="22" s="1"/>
  <c r="E94" i="22"/>
  <c r="G94" i="22" s="1"/>
  <c r="R94" i="22"/>
  <c r="S94" i="22" s="1"/>
  <c r="C111" i="22"/>
  <c r="R110" i="22"/>
  <c r="S110" i="22" s="1"/>
  <c r="E76" i="22"/>
  <c r="G76" i="22" s="1"/>
  <c r="R76" i="22"/>
  <c r="S76" i="22" s="1"/>
  <c r="E57" i="22"/>
  <c r="R57" i="22"/>
  <c r="S57" i="22" s="1"/>
  <c r="C58" i="22"/>
  <c r="R58" i="22" s="1"/>
  <c r="S58" i="22" s="1"/>
  <c r="R167" i="22"/>
  <c r="S167" i="22" s="1"/>
  <c r="E167" i="22"/>
  <c r="C99" i="22"/>
  <c r="R99" i="22" s="1"/>
  <c r="S99" i="22" s="1"/>
  <c r="R98" i="22"/>
  <c r="S98" i="22" s="1"/>
  <c r="E9" i="22"/>
  <c r="G9" i="22" s="1"/>
  <c r="R9" i="22"/>
  <c r="S9" i="22" s="1"/>
  <c r="E158" i="22"/>
  <c r="C159" i="22"/>
  <c r="R159" i="22" s="1"/>
  <c r="S159" i="22" s="1"/>
  <c r="A112" i="22"/>
  <c r="A113" i="22" s="1"/>
  <c r="A114" i="22" s="1"/>
  <c r="A111" i="22"/>
  <c r="C85" i="22"/>
  <c r="E84" i="22"/>
  <c r="G24" i="22"/>
  <c r="F25" i="22"/>
  <c r="F26" i="22" s="1"/>
  <c r="A54" i="22"/>
  <c r="A55" i="22"/>
  <c r="A56" i="22" s="1"/>
  <c r="A57" i="22" s="1"/>
  <c r="E99" i="22"/>
  <c r="G23" i="22"/>
  <c r="F172" i="26" l="1"/>
  <c r="G171" i="26"/>
  <c r="G65" i="23"/>
  <c r="F66" i="23"/>
  <c r="E81" i="22"/>
  <c r="E54" i="22"/>
  <c r="E103" i="22"/>
  <c r="R115" i="22"/>
  <c r="S115" i="22" s="1"/>
  <c r="G25" i="22"/>
  <c r="E85" i="22"/>
  <c r="R85" i="22"/>
  <c r="S85" i="22" s="1"/>
  <c r="R111" i="22"/>
  <c r="S111" i="22" s="1"/>
  <c r="E111" i="22"/>
  <c r="E58" i="22"/>
  <c r="F27" i="22"/>
  <c r="G26" i="22"/>
  <c r="A116" i="22"/>
  <c r="A117" i="22" s="1"/>
  <c r="A120" i="22" s="1"/>
  <c r="A121" i="22" s="1"/>
  <c r="A122" i="22" s="1"/>
  <c r="A123" i="22" s="1"/>
  <c r="A124" i="22" s="1"/>
  <c r="A125" i="22" s="1"/>
  <c r="A126" i="22" s="1"/>
  <c r="A127" i="22" s="1"/>
  <c r="A128" i="22" s="1"/>
  <c r="A129" i="22" s="1"/>
  <c r="A115" i="22"/>
  <c r="A118" i="22" s="1"/>
  <c r="A119" i="22" s="1"/>
  <c r="E159" i="22"/>
  <c r="A59" i="22"/>
  <c r="A60" i="22" s="1"/>
  <c r="A61" i="22" s="1"/>
  <c r="A62" i="22" s="1"/>
  <c r="A63" i="22" s="1"/>
  <c r="A64" i="22" s="1"/>
  <c r="A65" i="22" s="1"/>
  <c r="A66" i="22" s="1"/>
  <c r="A67" i="22" s="1"/>
  <c r="A68" i="22" s="1"/>
  <c r="A69" i="22" s="1"/>
  <c r="A70" i="22" s="1"/>
  <c r="A71" i="22" s="1"/>
  <c r="A72" i="22" s="1"/>
  <c r="A73" i="22" s="1"/>
  <c r="A74" i="22" s="1"/>
  <c r="A75" i="22" s="1"/>
  <c r="A58" i="22"/>
  <c r="F173" i="26" l="1"/>
  <c r="G172" i="26"/>
  <c r="F67" i="23"/>
  <c r="G66" i="23"/>
  <c r="A132" i="22"/>
  <c r="A133" i="22" s="1"/>
  <c r="A134" i="22" s="1"/>
  <c r="A135" i="22" s="1"/>
  <c r="A136" i="22" s="1"/>
  <c r="A137" i="22" s="1"/>
  <c r="A138" i="22" s="1"/>
  <c r="A139" i="22" s="1"/>
  <c r="A140" i="22" s="1"/>
  <c r="A141" i="22" s="1"/>
  <c r="A142" i="22" s="1"/>
  <c r="A143" i="22" s="1"/>
  <c r="A144" i="22" s="1"/>
  <c r="A145" i="22" s="1"/>
  <c r="A146" i="22" s="1"/>
  <c r="A147" i="22" s="1"/>
  <c r="A148" i="22" s="1"/>
  <c r="A149" i="22" s="1"/>
  <c r="A150" i="22" s="1"/>
  <c r="A151" i="22" s="1"/>
  <c r="A152" i="22" s="1"/>
  <c r="A153" i="22" s="1"/>
  <c r="A154" i="22" s="1"/>
  <c r="A155" i="22" s="1"/>
  <c r="A156" i="22" s="1"/>
  <c r="A157" i="22" s="1"/>
  <c r="A158" i="22" s="1"/>
  <c r="A159" i="22" s="1"/>
  <c r="A160" i="22" s="1"/>
  <c r="A161" i="22" s="1"/>
  <c r="A162" i="22" s="1"/>
  <c r="A163" i="22" s="1"/>
  <c r="A164" i="22" s="1"/>
  <c r="A165" i="22" s="1"/>
  <c r="A166" i="22" s="1"/>
  <c r="A168" i="22" s="1"/>
  <c r="A169" i="22" s="1"/>
  <c r="A170" i="22" s="1"/>
  <c r="A171" i="22" s="1"/>
  <c r="A172" i="22" s="1"/>
  <c r="A173" i="22" s="1"/>
  <c r="A174" i="22" s="1"/>
  <c r="A175" i="22" s="1"/>
  <c r="A176" i="22" s="1"/>
  <c r="A177" i="22" s="1"/>
  <c r="A178" i="22" s="1"/>
  <c r="A179" i="22" s="1"/>
  <c r="A180" i="22" s="1"/>
  <c r="A181" i="22" s="1"/>
  <c r="A182" i="22" s="1"/>
  <c r="A183" i="22" s="1"/>
  <c r="A130" i="22"/>
  <c r="A131" i="22" s="1"/>
  <c r="A77" i="22"/>
  <c r="A78" i="22" s="1"/>
  <c r="A79" i="22" s="1"/>
  <c r="A80" i="22" s="1"/>
  <c r="A76" i="22"/>
  <c r="F28" i="22"/>
  <c r="G27" i="22"/>
  <c r="F174" i="26" l="1"/>
  <c r="G173" i="26"/>
  <c r="F68" i="23"/>
  <c r="G67" i="23"/>
  <c r="F29" i="22"/>
  <c r="G28" i="22"/>
  <c r="A82" i="22"/>
  <c r="A83" i="22" s="1"/>
  <c r="A84" i="22" s="1"/>
  <c r="A81" i="22"/>
  <c r="D76" i="16"/>
  <c r="D147" i="16"/>
  <c r="D140" i="16"/>
  <c r="D145" i="16"/>
  <c r="D143" i="16"/>
  <c r="D144" i="16"/>
  <c r="D142" i="16"/>
  <c r="D106" i="16"/>
  <c r="D141" i="16"/>
  <c r="D139" i="16"/>
  <c r="D138" i="16"/>
  <c r="D137" i="16"/>
  <c r="D136" i="16"/>
  <c r="D135" i="16"/>
  <c r="D134" i="16"/>
  <c r="D133" i="16"/>
  <c r="D132" i="16"/>
  <c r="D131" i="16"/>
  <c r="D117" i="16"/>
  <c r="D125" i="16"/>
  <c r="D121" i="16"/>
  <c r="D112" i="16"/>
  <c r="D116" i="16"/>
  <c r="D113" i="16"/>
  <c r="D103" i="16"/>
  <c r="D100" i="16"/>
  <c r="D109" i="16"/>
  <c r="D30" i="18"/>
  <c r="T30" i="18" s="1"/>
  <c r="H71" i="18"/>
  <c r="M133" i="26" s="1"/>
  <c r="H67" i="18"/>
  <c r="M129" i="26" s="1"/>
  <c r="D59" i="15" l="1"/>
  <c r="D53" i="19"/>
  <c r="D31" i="15"/>
  <c r="D23" i="19"/>
  <c r="D72" i="15"/>
  <c r="D52" i="19"/>
  <c r="D43" i="15"/>
  <c r="D11" i="19"/>
  <c r="D5" i="19"/>
  <c r="D23" i="15"/>
  <c r="D62" i="15"/>
  <c r="D43" i="19"/>
  <c r="D66" i="15"/>
  <c r="D44" i="19"/>
  <c r="D42" i="15"/>
  <c r="D9" i="19"/>
  <c r="D63" i="15"/>
  <c r="D47" i="19"/>
  <c r="D71" i="15"/>
  <c r="D51" i="19"/>
  <c r="D36" i="15"/>
  <c r="D18" i="19"/>
  <c r="D26" i="15"/>
  <c r="D6" i="19"/>
  <c r="D41" i="15"/>
  <c r="D12" i="19"/>
  <c r="D64" i="15"/>
  <c r="D46" i="19"/>
  <c r="F175" i="26"/>
  <c r="G174" i="26"/>
  <c r="E124" i="16"/>
  <c r="F8" i="15" s="1"/>
  <c r="E126" i="16"/>
  <c r="F7" i="15" s="1"/>
  <c r="M127" i="22"/>
  <c r="M129" i="23"/>
  <c r="M123" i="22"/>
  <c r="M125" i="23"/>
  <c r="F69" i="23"/>
  <c r="G68" i="23"/>
  <c r="C3" i="21"/>
  <c r="G3" i="21" s="1"/>
  <c r="H68" i="18"/>
  <c r="M127" i="26" s="1"/>
  <c r="H72" i="18"/>
  <c r="M135" i="26" s="1"/>
  <c r="C4" i="21"/>
  <c r="G4" i="21" s="1"/>
  <c r="C7" i="21"/>
  <c r="G7" i="21" s="1"/>
  <c r="F33" i="22"/>
  <c r="G29" i="22"/>
  <c r="A86" i="22"/>
  <c r="A87" i="22" s="1"/>
  <c r="A88" i="22" s="1"/>
  <c r="A89" i="22" s="1"/>
  <c r="A90" i="22" s="1"/>
  <c r="A91" i="22" s="1"/>
  <c r="A92" i="22" s="1"/>
  <c r="A93" i="22" s="1"/>
  <c r="A85" i="22"/>
  <c r="C77" i="18"/>
  <c r="F176" i="26" l="1"/>
  <c r="G175" i="26"/>
  <c r="M123" i="23"/>
  <c r="E123" i="16"/>
  <c r="F13" i="15" s="1"/>
  <c r="M131" i="23"/>
  <c r="E127" i="16"/>
  <c r="F12" i="15" s="1"/>
  <c r="C78" i="18"/>
  <c r="T77" i="18"/>
  <c r="H77" i="18"/>
  <c r="M143" i="26" s="1"/>
  <c r="F74" i="23"/>
  <c r="G69" i="23"/>
  <c r="M129" i="22"/>
  <c r="H73" i="18"/>
  <c r="M137" i="26" s="1"/>
  <c r="M121" i="22"/>
  <c r="H69" i="18"/>
  <c r="M125" i="26" s="1"/>
  <c r="G33" i="22"/>
  <c r="F36" i="22"/>
  <c r="A94" i="22"/>
  <c r="A95" i="22"/>
  <c r="A96" i="22" s="1"/>
  <c r="A97" i="22" s="1"/>
  <c r="A98" i="22" s="1"/>
  <c r="E9" i="13"/>
  <c r="F177" i="26" l="1"/>
  <c r="F179" i="26"/>
  <c r="G176" i="26"/>
  <c r="E122" i="16"/>
  <c r="F17" i="15" s="1"/>
  <c r="E128" i="16"/>
  <c r="F10" i="15" s="1"/>
  <c r="E118" i="16"/>
  <c r="F6" i="15" s="1"/>
  <c r="M139" i="23"/>
  <c r="M137" i="22"/>
  <c r="M131" i="22"/>
  <c r="M133" i="23"/>
  <c r="M119" i="22"/>
  <c r="M121" i="23"/>
  <c r="C79" i="18"/>
  <c r="T78" i="18"/>
  <c r="H78" i="18"/>
  <c r="M145" i="26" s="1"/>
  <c r="F75" i="23"/>
  <c r="G74" i="23"/>
  <c r="F37" i="22"/>
  <c r="G36" i="22"/>
  <c r="F180" i="26" l="1"/>
  <c r="G179" i="26"/>
  <c r="F178" i="26"/>
  <c r="G178" i="26" s="1"/>
  <c r="G177" i="26"/>
  <c r="E119" i="16"/>
  <c r="F14" i="15" s="1"/>
  <c r="M141" i="23"/>
  <c r="M139" i="22"/>
  <c r="T79" i="18"/>
  <c r="H79" i="18"/>
  <c r="M147" i="26" s="1"/>
  <c r="F80" i="23"/>
  <c r="G75" i="23"/>
  <c r="F38" i="22"/>
  <c r="G37" i="22"/>
  <c r="F181" i="26" l="1"/>
  <c r="G180" i="26"/>
  <c r="M143" i="23"/>
  <c r="E120" i="16"/>
  <c r="F11" i="15" s="1"/>
  <c r="F81" i="23"/>
  <c r="G80" i="23"/>
  <c r="F39" i="22"/>
  <c r="G38" i="22"/>
  <c r="AC53" i="13" l="1"/>
  <c r="AA53" i="13"/>
  <c r="F184" i="26"/>
  <c r="F182" i="26"/>
  <c r="G181" i="26"/>
  <c r="C32" i="25"/>
  <c r="E32" i="25" s="1"/>
  <c r="F32" i="25" s="1"/>
  <c r="F82" i="23"/>
  <c r="G81" i="23"/>
  <c r="F40" i="22"/>
  <c r="G39" i="22"/>
  <c r="J11" i="21"/>
  <c r="K11" i="21" s="1"/>
  <c r="J9" i="21"/>
  <c r="K9" i="21" s="1"/>
  <c r="F183" i="26" l="1"/>
  <c r="G183" i="26" s="1"/>
  <c r="G182" i="26"/>
  <c r="G184" i="26"/>
  <c r="F185" i="26"/>
  <c r="F83" i="23"/>
  <c r="G82" i="23"/>
  <c r="F41" i="22"/>
  <c r="G40" i="22"/>
  <c r="I9" i="21"/>
  <c r="H9" i="21"/>
  <c r="I11" i="21"/>
  <c r="H11" i="21"/>
  <c r="G185" i="26" l="1"/>
  <c r="F186" i="26"/>
  <c r="F84" i="23"/>
  <c r="G83" i="23"/>
  <c r="F42" i="22"/>
  <c r="G41" i="22"/>
  <c r="E29" i="18"/>
  <c r="D31" i="18"/>
  <c r="T31" i="18" s="1"/>
  <c r="F189" i="26" l="1"/>
  <c r="F187" i="26"/>
  <c r="G186" i="26"/>
  <c r="F85" i="23"/>
  <c r="G84" i="23"/>
  <c r="F43" i="22"/>
  <c r="G42" i="22"/>
  <c r="E109" i="13"/>
  <c r="G109" i="13" s="1"/>
  <c r="K109" i="13" s="1"/>
  <c r="AC109" i="13" l="1"/>
  <c r="AA109" i="13"/>
  <c r="F188" i="26"/>
  <c r="G188" i="26" s="1"/>
  <c r="G187" i="26"/>
  <c r="F190" i="26"/>
  <c r="G189" i="26"/>
  <c r="F86" i="23"/>
  <c r="G85" i="23"/>
  <c r="G43" i="22"/>
  <c r="F44" i="22"/>
  <c r="B115" i="19"/>
  <c r="B116" i="19"/>
  <c r="B117" i="19"/>
  <c r="B118" i="19"/>
  <c r="B119" i="19"/>
  <c r="B120" i="19"/>
  <c r="B121" i="19"/>
  <c r="B122" i="19"/>
  <c r="B123" i="19"/>
  <c r="B124" i="19"/>
  <c r="B125" i="19"/>
  <c r="B126" i="19"/>
  <c r="B127" i="19"/>
  <c r="B128" i="19"/>
  <c r="B129" i="19"/>
  <c r="B130" i="19"/>
  <c r="B131" i="19"/>
  <c r="B134" i="19"/>
  <c r="B133" i="19"/>
  <c r="B132" i="19"/>
  <c r="B135" i="19"/>
  <c r="B136" i="19"/>
  <c r="B137" i="19"/>
  <c r="B138" i="19"/>
  <c r="B140" i="19"/>
  <c r="B141" i="19"/>
  <c r="B139" i="19"/>
  <c r="B142" i="19"/>
  <c r="B143" i="19"/>
  <c r="B144" i="19"/>
  <c r="B145" i="19"/>
  <c r="B146" i="19"/>
  <c r="B147" i="19"/>
  <c r="B148" i="19"/>
  <c r="B149" i="19"/>
  <c r="B150" i="19"/>
  <c r="B151" i="19"/>
  <c r="E111" i="13"/>
  <c r="G111" i="13" s="1"/>
  <c r="K111" i="13" s="1"/>
  <c r="E116" i="13"/>
  <c r="G116" i="13" s="1"/>
  <c r="K116" i="13" s="1"/>
  <c r="E113" i="13"/>
  <c r="G45" i="14"/>
  <c r="M45" i="14" s="1"/>
  <c r="L69" i="18"/>
  <c r="N69" i="18" s="1"/>
  <c r="K69" i="18"/>
  <c r="AA101" i="13" l="1"/>
  <c r="AC116" i="13"/>
  <c r="AA116" i="13"/>
  <c r="AC110" i="13"/>
  <c r="AA110" i="13"/>
  <c r="AC101" i="13"/>
  <c r="F191" i="26"/>
  <c r="G190" i="26"/>
  <c r="F87" i="23"/>
  <c r="G86" i="23"/>
  <c r="P69" i="18"/>
  <c r="Q69" i="18" s="1"/>
  <c r="R69" i="18" s="1"/>
  <c r="F45" i="22"/>
  <c r="G44" i="22"/>
  <c r="G113" i="13"/>
  <c r="K113" i="13" s="1"/>
  <c r="E117" i="13"/>
  <c r="I125" i="26" l="1"/>
  <c r="O125" i="26" s="1"/>
  <c r="I124" i="26"/>
  <c r="O124" i="26" s="1"/>
  <c r="AC113" i="13"/>
  <c r="AA112" i="13"/>
  <c r="AC105" i="13"/>
  <c r="F192" i="26"/>
  <c r="G191" i="26"/>
  <c r="I121" i="23"/>
  <c r="I120" i="23"/>
  <c r="F88" i="23"/>
  <c r="G87" i="23"/>
  <c r="I119" i="22"/>
  <c r="I118" i="22"/>
  <c r="F46" i="22"/>
  <c r="G45" i="22"/>
  <c r="G117" i="13"/>
  <c r="K117" i="13" s="1"/>
  <c r="AA117" i="13" l="1"/>
  <c r="AC117" i="13"/>
  <c r="AA113" i="13"/>
  <c r="AC108" i="13"/>
  <c r="AA108" i="13"/>
  <c r="F193" i="26"/>
  <c r="G192" i="26"/>
  <c r="F89" i="23"/>
  <c r="G88" i="23"/>
  <c r="F47" i="22"/>
  <c r="G46" i="22"/>
  <c r="F194" i="26" l="1"/>
  <c r="G193" i="26"/>
  <c r="F90" i="23"/>
  <c r="G89" i="23"/>
  <c r="F48" i="22"/>
  <c r="G47" i="22"/>
  <c r="B65" i="19"/>
  <c r="C65" i="19" s="1"/>
  <c r="B66" i="19"/>
  <c r="C66" i="19" s="1"/>
  <c r="B67" i="19"/>
  <c r="B68" i="19"/>
  <c r="B69" i="19"/>
  <c r="C69" i="19" s="1"/>
  <c r="B70" i="19"/>
  <c r="C70" i="19" s="1"/>
  <c r="B71" i="19"/>
  <c r="B72" i="19"/>
  <c r="B73" i="19"/>
  <c r="B74" i="19"/>
  <c r="B75" i="19"/>
  <c r="C75" i="19" s="1"/>
  <c r="B76" i="19"/>
  <c r="B77" i="19"/>
  <c r="B78" i="19"/>
  <c r="B79" i="19"/>
  <c r="B80" i="19"/>
  <c r="B81" i="19"/>
  <c r="B82" i="19"/>
  <c r="B83" i="19"/>
  <c r="B84" i="19"/>
  <c r="B85" i="19"/>
  <c r="C85" i="19" s="1"/>
  <c r="B86" i="19"/>
  <c r="B87" i="19"/>
  <c r="C87" i="19" s="1"/>
  <c r="B88" i="19"/>
  <c r="B89" i="19"/>
  <c r="B90" i="19"/>
  <c r="F197" i="26" l="1"/>
  <c r="F195" i="26"/>
  <c r="G194" i="26"/>
  <c r="F97" i="23"/>
  <c r="G90" i="23"/>
  <c r="F49" i="22"/>
  <c r="G48" i="22"/>
  <c r="D66" i="19"/>
  <c r="D86" i="19"/>
  <c r="D88" i="19"/>
  <c r="C77" i="19"/>
  <c r="D84" i="19"/>
  <c r="D80" i="19"/>
  <c r="C73" i="19"/>
  <c r="C68" i="19"/>
  <c r="D68" i="19"/>
  <c r="C72" i="19"/>
  <c r="D72" i="19"/>
  <c r="C78" i="19"/>
  <c r="D78" i="19"/>
  <c r="C71" i="19"/>
  <c r="C67" i="19"/>
  <c r="C83" i="19"/>
  <c r="C82" i="19"/>
  <c r="D82" i="19"/>
  <c r="D90" i="19"/>
  <c r="E90" i="19" s="1"/>
  <c r="C79" i="19"/>
  <c r="C76" i="19"/>
  <c r="D76" i="19"/>
  <c r="C74" i="19"/>
  <c r="D74" i="19"/>
  <c r="D70" i="19"/>
  <c r="C90" i="19"/>
  <c r="C88" i="19"/>
  <c r="C86" i="19"/>
  <c r="C84" i="19"/>
  <c r="C80" i="19"/>
  <c r="D87" i="19"/>
  <c r="D85" i="19"/>
  <c r="D79" i="19"/>
  <c r="D77" i="19"/>
  <c r="D75" i="19"/>
  <c r="D73" i="19"/>
  <c r="D71" i="19"/>
  <c r="D69" i="19"/>
  <c r="D67" i="19"/>
  <c r="D65" i="19"/>
  <c r="D89" i="19"/>
  <c r="D83" i="19"/>
  <c r="D81" i="19"/>
  <c r="C89" i="19"/>
  <c r="C81" i="19"/>
  <c r="F196" i="26" l="1"/>
  <c r="G196" i="26" s="1"/>
  <c r="G195" i="26"/>
  <c r="F198" i="26"/>
  <c r="G197" i="26"/>
  <c r="F98" i="23"/>
  <c r="G97" i="23"/>
  <c r="F50" i="22"/>
  <c r="G49" i="22"/>
  <c r="E89" i="19"/>
  <c r="E88" i="19" s="1"/>
  <c r="E87" i="19" s="1"/>
  <c r="E86" i="19" s="1"/>
  <c r="E85" i="19" s="1"/>
  <c r="E84" i="19" s="1"/>
  <c r="E83" i="19" s="1"/>
  <c r="E82" i="19" s="1"/>
  <c r="E81" i="19" s="1"/>
  <c r="E80" i="19" s="1"/>
  <c r="E79" i="19" s="1"/>
  <c r="E78" i="19" s="1"/>
  <c r="E77" i="19" s="1"/>
  <c r="E76" i="19" s="1"/>
  <c r="E75" i="19" s="1"/>
  <c r="E74" i="19" s="1"/>
  <c r="E73" i="19" s="1"/>
  <c r="E72" i="19" s="1"/>
  <c r="E71" i="19" s="1"/>
  <c r="E70" i="19" s="1"/>
  <c r="E69" i="19" s="1"/>
  <c r="E68" i="19" s="1"/>
  <c r="E67" i="19" s="1"/>
  <c r="E66" i="19" s="1"/>
  <c r="E65" i="19" s="1"/>
  <c r="F199" i="26" l="1"/>
  <c r="G199" i="26" s="1"/>
  <c r="O199" i="26" s="1"/>
  <c r="F200" i="26"/>
  <c r="G198" i="26"/>
  <c r="O198" i="26" s="1"/>
  <c r="G98" i="23"/>
  <c r="F99" i="23"/>
  <c r="F51" i="22"/>
  <c r="G50" i="22"/>
  <c r="F202" i="26" l="1"/>
  <c r="G200" i="26"/>
  <c r="O200" i="26" s="1"/>
  <c r="F201" i="26"/>
  <c r="G201" i="26" s="1"/>
  <c r="O201" i="26" s="1"/>
  <c r="F100" i="23"/>
  <c r="G99" i="23"/>
  <c r="F52" i="22"/>
  <c r="G51" i="22"/>
  <c r="D51" i="16"/>
  <c r="E17" i="18"/>
  <c r="L17" i="18" s="1"/>
  <c r="E60" i="18"/>
  <c r="D38" i="15" l="1"/>
  <c r="D21" i="19"/>
  <c r="F203" i="26"/>
  <c r="G202" i="26"/>
  <c r="O202" i="26" s="1"/>
  <c r="F101" i="23"/>
  <c r="F102" i="23"/>
  <c r="G100" i="23"/>
  <c r="F53" i="22"/>
  <c r="G52" i="22"/>
  <c r="P17" i="18"/>
  <c r="N17" i="18"/>
  <c r="K17" i="18"/>
  <c r="G17" i="18"/>
  <c r="O24" i="18"/>
  <c r="O7" i="18"/>
  <c r="O8" i="18" s="1"/>
  <c r="O9" i="18" s="1"/>
  <c r="O10" i="18" s="1"/>
  <c r="O5" i="18"/>
  <c r="F204" i="26" l="1"/>
  <c r="G203" i="26"/>
  <c r="O203" i="26" s="1"/>
  <c r="I75" i="23"/>
  <c r="O75" i="23" s="1"/>
  <c r="I74" i="23"/>
  <c r="O74" i="23" s="1"/>
  <c r="F103" i="23"/>
  <c r="G102" i="23"/>
  <c r="G101" i="23"/>
  <c r="I73" i="22"/>
  <c r="I72" i="22"/>
  <c r="F54" i="22"/>
  <c r="G53" i="22"/>
  <c r="Q17" i="18"/>
  <c r="R17" i="18" s="1"/>
  <c r="I48" i="26" l="1"/>
  <c r="I47" i="26"/>
  <c r="O47" i="26" s="1"/>
  <c r="F205" i="26"/>
  <c r="G204" i="26"/>
  <c r="O204" i="26" s="1"/>
  <c r="I45" i="23"/>
  <c r="O45" i="23" s="1"/>
  <c r="I46" i="23"/>
  <c r="F104" i="23"/>
  <c r="G103" i="23"/>
  <c r="I45" i="22"/>
  <c r="O45" i="22" s="1"/>
  <c r="I46" i="22"/>
  <c r="F55" i="22"/>
  <c r="G54" i="22"/>
  <c r="E115" i="13"/>
  <c r="F206" i="26" l="1"/>
  <c r="G205" i="26"/>
  <c r="O205" i="26" s="1"/>
  <c r="F105" i="23"/>
  <c r="G104" i="23"/>
  <c r="F56" i="22"/>
  <c r="G55" i="22"/>
  <c r="G115" i="13"/>
  <c r="K115" i="13" s="1"/>
  <c r="F207" i="26" l="1"/>
  <c r="G207" i="26" s="1"/>
  <c r="O207" i="26" s="1"/>
  <c r="G206" i="26"/>
  <c r="O206" i="26" s="1"/>
  <c r="F106" i="23"/>
  <c r="G105" i="23"/>
  <c r="F57" i="22"/>
  <c r="G56" i="22"/>
  <c r="F107" i="23" l="1"/>
  <c r="G106" i="23"/>
  <c r="F58" i="22"/>
  <c r="G57" i="22"/>
  <c r="F108" i="23" l="1"/>
  <c r="G107" i="23"/>
  <c r="F59" i="22"/>
  <c r="G58" i="22"/>
  <c r="F109" i="23" l="1"/>
  <c r="G108" i="23"/>
  <c r="F60" i="22"/>
  <c r="G59" i="22"/>
  <c r="O59" i="22" s="1"/>
  <c r="K87" i="18"/>
  <c r="L87" i="18"/>
  <c r="K88" i="18"/>
  <c r="L88" i="18"/>
  <c r="K89" i="18"/>
  <c r="L89" i="18"/>
  <c r="K90" i="18"/>
  <c r="L90" i="18"/>
  <c r="K91" i="18"/>
  <c r="L91" i="18"/>
  <c r="K92" i="18"/>
  <c r="L92" i="18"/>
  <c r="K93" i="18"/>
  <c r="L93" i="18"/>
  <c r="K94" i="18"/>
  <c r="L94" i="18"/>
  <c r="K95" i="18"/>
  <c r="L95" i="18"/>
  <c r="K96" i="18"/>
  <c r="L96" i="18"/>
  <c r="K97" i="18"/>
  <c r="L97" i="18"/>
  <c r="K98" i="18"/>
  <c r="L98" i="18"/>
  <c r="K99" i="18"/>
  <c r="L99" i="18"/>
  <c r="K100" i="18"/>
  <c r="L100" i="18"/>
  <c r="K101" i="18"/>
  <c r="L101" i="18"/>
  <c r="K102" i="18"/>
  <c r="L102" i="18"/>
  <c r="K104" i="18"/>
  <c r="L104" i="18"/>
  <c r="O36" i="18"/>
  <c r="O35" i="18"/>
  <c r="F110" i="23" l="1"/>
  <c r="G109" i="23"/>
  <c r="F61" i="22"/>
  <c r="G60" i="22"/>
  <c r="P87" i="18"/>
  <c r="P88" i="18"/>
  <c r="P89" i="18"/>
  <c r="P90" i="18"/>
  <c r="P91" i="18"/>
  <c r="P92" i="18"/>
  <c r="P93" i="18"/>
  <c r="P94" i="18"/>
  <c r="P95" i="18"/>
  <c r="P96" i="18"/>
  <c r="P97" i="18"/>
  <c r="P98" i="18"/>
  <c r="P99" i="18"/>
  <c r="P100" i="18"/>
  <c r="P101" i="18"/>
  <c r="P102" i="18"/>
  <c r="P104" i="18"/>
  <c r="N87" i="18"/>
  <c r="N88" i="18"/>
  <c r="N89" i="18"/>
  <c r="N90" i="18"/>
  <c r="N91" i="18"/>
  <c r="N92" i="18"/>
  <c r="N93" i="18"/>
  <c r="N94" i="18"/>
  <c r="N95" i="18"/>
  <c r="N96" i="18"/>
  <c r="N97" i="18"/>
  <c r="N98" i="18"/>
  <c r="N99" i="18"/>
  <c r="N100" i="18"/>
  <c r="N101" i="18"/>
  <c r="N102" i="18"/>
  <c r="N104" i="18"/>
  <c r="L64" i="18"/>
  <c r="P64" i="18" s="1"/>
  <c r="L65" i="18"/>
  <c r="L67" i="18"/>
  <c r="P67" i="18" s="1"/>
  <c r="L68" i="18"/>
  <c r="N68" i="18" s="1"/>
  <c r="L70" i="18"/>
  <c r="L71" i="18"/>
  <c r="L72" i="18"/>
  <c r="P72" i="18" s="1"/>
  <c r="L73" i="18"/>
  <c r="P73" i="18" s="1"/>
  <c r="L74" i="18"/>
  <c r="L75" i="18"/>
  <c r="L77" i="18"/>
  <c r="P77" i="18" s="1"/>
  <c r="L78" i="18"/>
  <c r="L79" i="18"/>
  <c r="N79" i="18" s="1"/>
  <c r="L80" i="18"/>
  <c r="P80" i="18" s="1"/>
  <c r="L81" i="18"/>
  <c r="P81" i="18" s="1"/>
  <c r="L82" i="18"/>
  <c r="N82" i="18" s="1"/>
  <c r="L83" i="18"/>
  <c r="L84" i="18"/>
  <c r="P84" i="18" s="1"/>
  <c r="L85" i="18"/>
  <c r="P85" i="18" s="1"/>
  <c r="K64" i="18"/>
  <c r="K65" i="18"/>
  <c r="K67" i="18"/>
  <c r="K68" i="18"/>
  <c r="K70" i="18"/>
  <c r="K71" i="18"/>
  <c r="K72" i="18"/>
  <c r="K73" i="18"/>
  <c r="K74" i="18"/>
  <c r="K75" i="18"/>
  <c r="K77" i="18"/>
  <c r="K78" i="18"/>
  <c r="K79" i="18"/>
  <c r="K80" i="18"/>
  <c r="K81" i="18"/>
  <c r="K82" i="18"/>
  <c r="K83" i="18"/>
  <c r="K84" i="18"/>
  <c r="K85" i="18"/>
  <c r="G110" i="23" l="1"/>
  <c r="F111" i="23"/>
  <c r="Q90" i="18"/>
  <c r="R90" i="18" s="1"/>
  <c r="I160" i="26" s="1"/>
  <c r="O160" i="26" s="1"/>
  <c r="Q93" i="18"/>
  <c r="R93" i="18" s="1"/>
  <c r="N84" i="18"/>
  <c r="Q84" i="18" s="1"/>
  <c r="R84" i="18" s="1"/>
  <c r="N67" i="18"/>
  <c r="Q67" i="18" s="1"/>
  <c r="R67" i="18" s="1"/>
  <c r="N80" i="18"/>
  <c r="Q80" i="18" s="1"/>
  <c r="R80" i="18" s="1"/>
  <c r="N77" i="18"/>
  <c r="Q77" i="18" s="1"/>
  <c r="R77" i="18" s="1"/>
  <c r="N85" i="18"/>
  <c r="Q85" i="18" s="1"/>
  <c r="R85" i="18" s="1"/>
  <c r="N72" i="18"/>
  <c r="Q72" i="18" s="1"/>
  <c r="R72" i="18" s="1"/>
  <c r="F63" i="22"/>
  <c r="G61" i="22"/>
  <c r="P82" i="18"/>
  <c r="Q82" i="18" s="1"/>
  <c r="R82" i="18" s="1"/>
  <c r="N73" i="18"/>
  <c r="Q73" i="18" s="1"/>
  <c r="R73" i="18" s="1"/>
  <c r="N64" i="18"/>
  <c r="Q64" i="18" s="1"/>
  <c r="R64" i="18" s="1"/>
  <c r="P79" i="18"/>
  <c r="Q79" i="18" s="1"/>
  <c r="R79" i="18" s="1"/>
  <c r="N81" i="18"/>
  <c r="Q81" i="18" s="1"/>
  <c r="R81" i="18" s="1"/>
  <c r="N78" i="18"/>
  <c r="P78" i="18"/>
  <c r="P68" i="18"/>
  <c r="Q68" i="18" s="1"/>
  <c r="R68" i="18" s="1"/>
  <c r="N75" i="18"/>
  <c r="P75" i="18"/>
  <c r="N71" i="18"/>
  <c r="P71" i="18"/>
  <c r="P83" i="18"/>
  <c r="N83" i="18"/>
  <c r="N74" i="18"/>
  <c r="P74" i="18"/>
  <c r="N70" i="18"/>
  <c r="P70" i="18"/>
  <c r="P65" i="18"/>
  <c r="N65" i="18"/>
  <c r="Q99" i="18"/>
  <c r="R99" i="18" s="1"/>
  <c r="Q91" i="18"/>
  <c r="R91" i="18" s="1"/>
  <c r="Q98" i="18"/>
  <c r="R98" i="18" s="1"/>
  <c r="Q94" i="18"/>
  <c r="R94" i="18" s="1"/>
  <c r="Q97" i="18"/>
  <c r="R97" i="18" s="1"/>
  <c r="Q89" i="18"/>
  <c r="R89" i="18" s="1"/>
  <c r="Q102" i="18"/>
  <c r="R102" i="18" s="1"/>
  <c r="Q101" i="18"/>
  <c r="R101" i="18" s="1"/>
  <c r="Q87" i="18"/>
  <c r="R87" i="18" s="1"/>
  <c r="Q95" i="18"/>
  <c r="R95" i="18" s="1"/>
  <c r="Q96" i="18"/>
  <c r="R96" i="18" s="1"/>
  <c r="Q92" i="18"/>
  <c r="R92" i="18" s="1"/>
  <c r="Q104" i="18"/>
  <c r="R104" i="18" s="1"/>
  <c r="Q88" i="18"/>
  <c r="R88" i="18" s="1"/>
  <c r="Q100" i="18"/>
  <c r="R100" i="18" s="1"/>
  <c r="I185" i="23" l="1"/>
  <c r="I197" i="26"/>
  <c r="O197" i="26" s="1"/>
  <c r="I127" i="26"/>
  <c r="O127" i="26" s="1"/>
  <c r="I126" i="26"/>
  <c r="O126" i="26" s="1"/>
  <c r="I188" i="26"/>
  <c r="O188" i="26" s="1"/>
  <c r="I187" i="26"/>
  <c r="O187" i="26" s="1"/>
  <c r="I186" i="26"/>
  <c r="O186" i="26" s="1"/>
  <c r="I185" i="26"/>
  <c r="O185" i="26" s="1"/>
  <c r="I176" i="23"/>
  <c r="I184" i="26"/>
  <c r="O184" i="26" s="1"/>
  <c r="I145" i="23"/>
  <c r="I149" i="26"/>
  <c r="O149" i="26" s="1"/>
  <c r="I157" i="23"/>
  <c r="I161" i="26"/>
  <c r="O161" i="26" s="1"/>
  <c r="I144" i="23"/>
  <c r="I148" i="26"/>
  <c r="O148" i="26" s="1"/>
  <c r="I189" i="26"/>
  <c r="O189" i="26" s="1"/>
  <c r="I190" i="26"/>
  <c r="O190" i="26" s="1"/>
  <c r="I156" i="22"/>
  <c r="I163" i="26"/>
  <c r="O163" i="26" s="1"/>
  <c r="I162" i="26"/>
  <c r="O162" i="26" s="1"/>
  <c r="I165" i="26"/>
  <c r="O165" i="26" s="1"/>
  <c r="I164" i="26"/>
  <c r="O164" i="26" s="1"/>
  <c r="I168" i="26"/>
  <c r="O168" i="26" s="1"/>
  <c r="I169" i="26"/>
  <c r="O169" i="26" s="1"/>
  <c r="I167" i="26"/>
  <c r="O167" i="26" s="1"/>
  <c r="I166" i="26"/>
  <c r="O166" i="26" s="1"/>
  <c r="I153" i="23"/>
  <c r="I157" i="26"/>
  <c r="O157" i="26" s="1"/>
  <c r="I173" i="23"/>
  <c r="I179" i="26"/>
  <c r="O179" i="26" s="1"/>
  <c r="I150" i="23"/>
  <c r="I154" i="26"/>
  <c r="O154" i="26" s="1"/>
  <c r="I170" i="23"/>
  <c r="I174" i="26"/>
  <c r="O174" i="26" s="1"/>
  <c r="I173" i="26"/>
  <c r="O173" i="26" s="1"/>
  <c r="I172" i="26"/>
  <c r="O172" i="26" s="1"/>
  <c r="I171" i="26"/>
  <c r="O171" i="26" s="1"/>
  <c r="I170" i="26"/>
  <c r="O170" i="26" s="1"/>
  <c r="I149" i="23"/>
  <c r="I153" i="26"/>
  <c r="O153" i="26" s="1"/>
  <c r="I191" i="26"/>
  <c r="O191" i="26" s="1"/>
  <c r="I192" i="26"/>
  <c r="O192" i="26" s="1"/>
  <c r="I137" i="26"/>
  <c r="O137" i="26" s="1"/>
  <c r="I136" i="26"/>
  <c r="O136" i="26" s="1"/>
  <c r="I135" i="26"/>
  <c r="O135" i="26" s="1"/>
  <c r="I134" i="26"/>
  <c r="O134" i="26" s="1"/>
  <c r="I143" i="26"/>
  <c r="O143" i="26" s="1"/>
  <c r="I142" i="26"/>
  <c r="O142" i="26" s="1"/>
  <c r="I129" i="26"/>
  <c r="O129" i="26" s="1"/>
  <c r="I128" i="26"/>
  <c r="O128" i="26" s="1"/>
  <c r="I147" i="26"/>
  <c r="O147" i="26" s="1"/>
  <c r="I146" i="26"/>
  <c r="O146" i="26" s="1"/>
  <c r="I70" i="23"/>
  <c r="O70" i="23" s="1"/>
  <c r="I74" i="26"/>
  <c r="O74" i="26" s="1"/>
  <c r="I159" i="26"/>
  <c r="O159" i="26" s="1"/>
  <c r="I158" i="26"/>
  <c r="O158" i="26" s="1"/>
  <c r="I178" i="26"/>
  <c r="O178" i="26" s="1"/>
  <c r="I177" i="26"/>
  <c r="O177" i="26" s="1"/>
  <c r="I176" i="26"/>
  <c r="O176" i="26" s="1"/>
  <c r="I175" i="26"/>
  <c r="O175" i="26" s="1"/>
  <c r="I151" i="26"/>
  <c r="O151" i="26" s="1"/>
  <c r="I150" i="26"/>
  <c r="O150" i="26" s="1"/>
  <c r="I123" i="23"/>
  <c r="I122" i="23"/>
  <c r="I146" i="23"/>
  <c r="I147" i="23"/>
  <c r="I133" i="23"/>
  <c r="I132" i="23"/>
  <c r="I131" i="23"/>
  <c r="I130" i="23"/>
  <c r="I125" i="23"/>
  <c r="I124" i="23"/>
  <c r="I154" i="22"/>
  <c r="I156" i="23"/>
  <c r="I143" i="23"/>
  <c r="I142" i="23"/>
  <c r="I138" i="23"/>
  <c r="I139" i="23"/>
  <c r="I159" i="22"/>
  <c r="I159" i="23"/>
  <c r="I161" i="23"/>
  <c r="I158" i="23"/>
  <c r="I160" i="23"/>
  <c r="I179" i="23"/>
  <c r="I180" i="23"/>
  <c r="I182" i="23"/>
  <c r="I181" i="23"/>
  <c r="I178" i="23"/>
  <c r="I177" i="23"/>
  <c r="I171" i="23"/>
  <c r="I172" i="23"/>
  <c r="I169" i="23"/>
  <c r="I167" i="23"/>
  <c r="I168" i="23"/>
  <c r="I166" i="23"/>
  <c r="I163" i="23"/>
  <c r="I165" i="23"/>
  <c r="I162" i="23"/>
  <c r="I164" i="23"/>
  <c r="I155" i="23"/>
  <c r="I154" i="23"/>
  <c r="F112" i="23"/>
  <c r="G111" i="23"/>
  <c r="I157" i="22"/>
  <c r="I158" i="22"/>
  <c r="Q74" i="18"/>
  <c r="R74" i="18" s="1"/>
  <c r="I138" i="26" s="1"/>
  <c r="O138" i="26" s="1"/>
  <c r="Q70" i="18"/>
  <c r="R70" i="18" s="1"/>
  <c r="I148" i="22"/>
  <c r="I68" i="22"/>
  <c r="O68" i="22" s="1"/>
  <c r="I142" i="22"/>
  <c r="I147" i="22"/>
  <c r="I183" i="22"/>
  <c r="I179" i="22"/>
  <c r="I180" i="22"/>
  <c r="I171" i="22"/>
  <c r="I137" i="22"/>
  <c r="I136" i="22"/>
  <c r="I175" i="22"/>
  <c r="I176" i="22"/>
  <c r="I166" i="22"/>
  <c r="I165" i="22"/>
  <c r="I164" i="22"/>
  <c r="I167" i="22"/>
  <c r="I152" i="22"/>
  <c r="I153" i="22"/>
  <c r="I155" i="22"/>
  <c r="Q83" i="18"/>
  <c r="R83" i="18" s="1"/>
  <c r="I131" i="22"/>
  <c r="I130" i="22"/>
  <c r="I174" i="22"/>
  <c r="I143" i="22"/>
  <c r="I145" i="22"/>
  <c r="I144" i="22"/>
  <c r="I128" i="22"/>
  <c r="I129" i="22"/>
  <c r="I170" i="22"/>
  <c r="I169" i="22"/>
  <c r="I123" i="22"/>
  <c r="I122" i="22"/>
  <c r="I151" i="22"/>
  <c r="I168" i="22"/>
  <c r="I177" i="22"/>
  <c r="I178" i="22"/>
  <c r="I162" i="22"/>
  <c r="I163" i="22"/>
  <c r="I160" i="22"/>
  <c r="I161" i="22"/>
  <c r="Q71" i="18"/>
  <c r="R71" i="18" s="1"/>
  <c r="I120" i="22"/>
  <c r="I121" i="22"/>
  <c r="I141" i="22"/>
  <c r="I140" i="22"/>
  <c r="F64" i="22"/>
  <c r="G63" i="22"/>
  <c r="Q65" i="18"/>
  <c r="R65" i="18" s="1"/>
  <c r="Q75" i="18"/>
  <c r="R75" i="18" s="1"/>
  <c r="Q78" i="18"/>
  <c r="R78" i="18" s="1"/>
  <c r="I130" i="26" l="1"/>
  <c r="O130" i="26" s="1"/>
  <c r="I131" i="26"/>
  <c r="O131" i="26" s="1"/>
  <c r="I6" i="23"/>
  <c r="O6" i="23" s="1"/>
  <c r="I6" i="26"/>
  <c r="O6" i="26" s="1"/>
  <c r="I148" i="23"/>
  <c r="I152" i="26"/>
  <c r="O152" i="26" s="1"/>
  <c r="I133" i="26"/>
  <c r="O133" i="26" s="1"/>
  <c r="I132" i="26"/>
  <c r="O132" i="26" s="1"/>
  <c r="I144" i="26"/>
  <c r="O144" i="26" s="1"/>
  <c r="I145" i="26"/>
  <c r="O145" i="26" s="1"/>
  <c r="I135" i="23"/>
  <c r="I139" i="26"/>
  <c r="O139" i="26" s="1"/>
  <c r="I134" i="23"/>
  <c r="I129" i="23"/>
  <c r="I128" i="23"/>
  <c r="I126" i="23"/>
  <c r="I127" i="23"/>
  <c r="I141" i="23"/>
  <c r="I140" i="23"/>
  <c r="F113" i="23"/>
  <c r="G112" i="23"/>
  <c r="I132" i="22"/>
  <c r="I124" i="22"/>
  <c r="I125" i="22"/>
  <c r="I6" i="22"/>
  <c r="O6" i="22" s="1"/>
  <c r="I138" i="22"/>
  <c r="I139" i="22"/>
  <c r="I133" i="22"/>
  <c r="I127" i="22"/>
  <c r="I126" i="22"/>
  <c r="I146" i="22"/>
  <c r="F65" i="22"/>
  <c r="G64" i="22"/>
  <c r="E45" i="13"/>
  <c r="G45" i="13" s="1"/>
  <c r="N45" i="13" s="1"/>
  <c r="F44" i="19" s="1"/>
  <c r="G29" i="15" s="1"/>
  <c r="H29" i="15" s="1"/>
  <c r="N36" i="13"/>
  <c r="F35" i="19" s="1"/>
  <c r="E106" i="13"/>
  <c r="G106" i="13" s="1"/>
  <c r="K106" i="13" s="1"/>
  <c r="E107" i="13"/>
  <c r="G107" i="13" s="1"/>
  <c r="K107" i="13" s="1"/>
  <c r="E104" i="13"/>
  <c r="G104" i="13" s="1"/>
  <c r="K104" i="13" s="1"/>
  <c r="E70" i="13"/>
  <c r="G70" i="13" s="1"/>
  <c r="E77" i="13"/>
  <c r="G77" i="13" s="1"/>
  <c r="E91" i="13"/>
  <c r="G91" i="13" s="1"/>
  <c r="E72" i="13"/>
  <c r="G72" i="13" s="1"/>
  <c r="E68" i="13"/>
  <c r="G68" i="13" s="1"/>
  <c r="E93" i="13"/>
  <c r="G93" i="13" s="1"/>
  <c r="E80" i="13"/>
  <c r="G80" i="13" s="1"/>
  <c r="E83" i="13"/>
  <c r="G83" i="13" s="1"/>
  <c r="E74" i="13"/>
  <c r="G74" i="13" s="1"/>
  <c r="E69" i="13"/>
  <c r="G69" i="13" s="1"/>
  <c r="E92" i="13"/>
  <c r="G92" i="13" s="1"/>
  <c r="E88" i="13"/>
  <c r="G88" i="13" s="1"/>
  <c r="E76" i="13"/>
  <c r="G76" i="13" s="1"/>
  <c r="E73" i="13"/>
  <c r="G73" i="13" s="1"/>
  <c r="E79" i="13"/>
  <c r="G79" i="13" s="1"/>
  <c r="E71" i="13"/>
  <c r="G71" i="13" s="1"/>
  <c r="E75" i="13"/>
  <c r="G75" i="13" s="1"/>
  <c r="E82" i="13"/>
  <c r="G82" i="13" s="1"/>
  <c r="E89" i="13"/>
  <c r="G89" i="13" s="1"/>
  <c r="E94" i="13"/>
  <c r="G94" i="13" s="1"/>
  <c r="E78" i="13"/>
  <c r="G78" i="13" s="1"/>
  <c r="E87" i="13"/>
  <c r="G87" i="13" s="1"/>
  <c r="E86" i="13"/>
  <c r="G86" i="13" s="1"/>
  <c r="E90" i="13"/>
  <c r="G90" i="13" s="1"/>
  <c r="E84" i="13"/>
  <c r="G84" i="13" s="1"/>
  <c r="E85" i="13"/>
  <c r="G85" i="13" s="1"/>
  <c r="E81" i="13"/>
  <c r="G81" i="13" s="1"/>
  <c r="G53" i="15" l="1"/>
  <c r="H53" i="15" s="1"/>
  <c r="G35" i="15"/>
  <c r="H35" i="15" s="1"/>
  <c r="AC106" i="13"/>
  <c r="AA106" i="13"/>
  <c r="AC104" i="13"/>
  <c r="AC107" i="13"/>
  <c r="AA107" i="13"/>
  <c r="F47" i="19"/>
  <c r="G63" i="15" s="1"/>
  <c r="H63" i="15" s="1"/>
  <c r="AC36" i="13"/>
  <c r="AA36" i="13"/>
  <c r="F58" i="19"/>
  <c r="G73" i="15" s="1"/>
  <c r="AA105" i="13"/>
  <c r="AC111" i="13"/>
  <c r="AA111" i="13"/>
  <c r="AA104" i="13"/>
  <c r="AC115" i="13"/>
  <c r="AA115" i="13"/>
  <c r="AA103" i="13"/>
  <c r="AC102" i="13"/>
  <c r="AA102" i="13"/>
  <c r="AA59" i="13"/>
  <c r="AC59" i="13"/>
  <c r="AC41" i="13"/>
  <c r="AA41" i="13"/>
  <c r="AA12" i="13"/>
  <c r="AC12" i="13"/>
  <c r="AC15" i="13"/>
  <c r="AC16" i="13"/>
  <c r="AA16" i="13"/>
  <c r="AC54" i="13"/>
  <c r="AA15" i="13"/>
  <c r="C20" i="25"/>
  <c r="E20" i="25" s="1"/>
  <c r="F20" i="25" s="1"/>
  <c r="AA54" i="13"/>
  <c r="C5" i="25"/>
  <c r="E5" i="25" s="1"/>
  <c r="F5" i="25" s="1"/>
  <c r="C40" i="25"/>
  <c r="E40" i="25" s="1"/>
  <c r="F40" i="25" s="1"/>
  <c r="C7" i="25"/>
  <c r="E7" i="25" s="1"/>
  <c r="F7" i="25" s="1"/>
  <c r="F6" i="19"/>
  <c r="C14" i="25"/>
  <c r="E14" i="25" s="1"/>
  <c r="F14" i="25" s="1"/>
  <c r="C15" i="25"/>
  <c r="E15" i="25" s="1"/>
  <c r="F15" i="25" s="1"/>
  <c r="C47" i="25"/>
  <c r="E47" i="25" s="1"/>
  <c r="F47" i="25" s="1"/>
  <c r="C44" i="25"/>
  <c r="E44" i="25" s="1"/>
  <c r="F44" i="25" s="1"/>
  <c r="C24" i="25"/>
  <c r="E24" i="25" s="1"/>
  <c r="F24" i="25" s="1"/>
  <c r="C43" i="25"/>
  <c r="E43" i="25" s="1"/>
  <c r="F43" i="25" s="1"/>
  <c r="C23" i="25"/>
  <c r="E23" i="25" s="1"/>
  <c r="F23" i="25" s="1"/>
  <c r="C9" i="25"/>
  <c r="E9" i="25" s="1"/>
  <c r="F9" i="25" s="1"/>
  <c r="C60" i="25"/>
  <c r="E60" i="25" s="1"/>
  <c r="F60" i="25" s="1"/>
  <c r="C46" i="25"/>
  <c r="E46" i="25" s="1"/>
  <c r="F46" i="25" s="1"/>
  <c r="C38" i="25"/>
  <c r="E38" i="25" s="1"/>
  <c r="F38" i="25" s="1"/>
  <c r="Y47" i="13"/>
  <c r="Y30" i="13"/>
  <c r="F97" i="19"/>
  <c r="Y104" i="13"/>
  <c r="F106" i="19"/>
  <c r="F109" i="19"/>
  <c r="F107" i="19"/>
  <c r="F108" i="19"/>
  <c r="F95" i="19"/>
  <c r="F98" i="19"/>
  <c r="F102" i="19"/>
  <c r="F96" i="19"/>
  <c r="F105" i="19"/>
  <c r="F110" i="19"/>
  <c r="F100" i="19"/>
  <c r="F103" i="19"/>
  <c r="F104" i="19"/>
  <c r="F99" i="19"/>
  <c r="Y106" i="13"/>
  <c r="F101" i="19"/>
  <c r="Y6" i="13"/>
  <c r="Y111" i="13"/>
  <c r="F114" i="23"/>
  <c r="G113" i="23"/>
  <c r="Y102" i="13"/>
  <c r="Y113" i="13"/>
  <c r="Y105" i="13"/>
  <c r="Y114" i="13"/>
  <c r="Y112" i="13"/>
  <c r="Y103" i="13"/>
  <c r="Y108" i="13"/>
  <c r="Y101" i="13"/>
  <c r="Y115" i="13"/>
  <c r="Y28" i="13"/>
  <c r="Y31" i="13"/>
  <c r="Y116" i="13"/>
  <c r="Y53" i="13"/>
  <c r="Y109" i="13"/>
  <c r="Y107" i="13"/>
  <c r="Y110" i="13"/>
  <c r="G65" i="22"/>
  <c r="F66" i="22"/>
  <c r="G31" i="15" l="1"/>
  <c r="G49" i="15"/>
  <c r="F115" i="23"/>
  <c r="G114" i="23"/>
  <c r="F67" i="22"/>
  <c r="G66" i="22"/>
  <c r="F116" i="23" l="1"/>
  <c r="G115" i="23"/>
  <c r="F72" i="22"/>
  <c r="G67" i="22"/>
  <c r="F117" i="23" l="1"/>
  <c r="G116" i="23"/>
  <c r="F73" i="22"/>
  <c r="G72" i="22"/>
  <c r="O72" i="22" s="1"/>
  <c r="J78" i="13"/>
  <c r="J94" i="13"/>
  <c r="J85" i="13"/>
  <c r="J87" i="13"/>
  <c r="J71" i="13"/>
  <c r="J88" i="13"/>
  <c r="J90" i="13"/>
  <c r="J84" i="13"/>
  <c r="J89" i="13"/>
  <c r="J81" i="13"/>
  <c r="J76" i="13"/>
  <c r="J82" i="13"/>
  <c r="J69" i="13"/>
  <c r="J83" i="13"/>
  <c r="J92" i="13"/>
  <c r="J73" i="13"/>
  <c r="J72" i="13"/>
  <c r="J75" i="13"/>
  <c r="J74" i="13"/>
  <c r="J79" i="13"/>
  <c r="J86" i="13"/>
  <c r="J70" i="13"/>
  <c r="J68" i="13"/>
  <c r="J77" i="13"/>
  <c r="J80" i="13"/>
  <c r="J91" i="13"/>
  <c r="J93" i="13"/>
  <c r="G9" i="13"/>
  <c r="N9" i="13" s="1"/>
  <c r="F8" i="19" s="1"/>
  <c r="N37" i="13"/>
  <c r="F36" i="19" s="1"/>
  <c r="G54" i="15" s="1"/>
  <c r="G56" i="14"/>
  <c r="G25" i="14"/>
  <c r="G47" i="14"/>
  <c r="G26" i="14"/>
  <c r="G57" i="14"/>
  <c r="G22" i="14"/>
  <c r="G14" i="14"/>
  <c r="G18" i="14"/>
  <c r="G53" i="14"/>
  <c r="G48" i="14"/>
  <c r="G11" i="14"/>
  <c r="G41" i="14"/>
  <c r="G38" i="14"/>
  <c r="G10" i="14"/>
  <c r="G24" i="14"/>
  <c r="M24" i="14" s="1"/>
  <c r="G23" i="14"/>
  <c r="G51" i="14"/>
  <c r="G39" i="14"/>
  <c r="G20" i="14"/>
  <c r="G12" i="14"/>
  <c r="G46" i="14"/>
  <c r="G34" i="14"/>
  <c r="G54" i="14"/>
  <c r="G32" i="14"/>
  <c r="G19" i="14"/>
  <c r="G27" i="14"/>
  <c r="G31" i="14"/>
  <c r="G42" i="14"/>
  <c r="G9" i="14"/>
  <c r="G28" i="14"/>
  <c r="G35" i="14"/>
  <c r="G52" i="14"/>
  <c r="G21" i="14"/>
  <c r="G55" i="14"/>
  <c r="G33" i="14"/>
  <c r="G40" i="14"/>
  <c r="G36" i="14"/>
  <c r="G8" i="14"/>
  <c r="M8" i="14" s="1"/>
  <c r="G7" i="14"/>
  <c r="G50" i="14"/>
  <c r="AA9" i="13" l="1"/>
  <c r="AC9" i="13"/>
  <c r="AC37" i="13"/>
  <c r="AA37" i="13"/>
  <c r="F46" i="19"/>
  <c r="C56" i="25"/>
  <c r="E56" i="25" s="1"/>
  <c r="F56" i="25" s="1"/>
  <c r="F17" i="19"/>
  <c r="C11" i="25"/>
  <c r="E11" i="25" s="1"/>
  <c r="F11" i="25" s="1"/>
  <c r="O16" i="14"/>
  <c r="AC10" i="13"/>
  <c r="AA10" i="13"/>
  <c r="AC34" i="13"/>
  <c r="AA34" i="13"/>
  <c r="Y34" i="13"/>
  <c r="AC45" i="13"/>
  <c r="AC35" i="13"/>
  <c r="AC51" i="13"/>
  <c r="AA51" i="13"/>
  <c r="AA45" i="13"/>
  <c r="AA35" i="13"/>
  <c r="C57" i="25"/>
  <c r="E57" i="25" s="1"/>
  <c r="F57" i="25" s="1"/>
  <c r="AA79" i="13"/>
  <c r="AC79" i="13"/>
  <c r="AA68" i="13"/>
  <c r="AC89" i="13"/>
  <c r="AA69" i="13"/>
  <c r="AC92" i="13"/>
  <c r="AA91" i="13"/>
  <c r="AC76" i="13"/>
  <c r="AA92" i="13"/>
  <c r="AC73" i="13"/>
  <c r="AA81" i="13"/>
  <c r="AC86" i="13"/>
  <c r="AA75" i="13"/>
  <c r="AC78" i="13"/>
  <c r="AA71" i="13"/>
  <c r="AC94" i="13"/>
  <c r="AA74" i="13"/>
  <c r="AC77" i="13"/>
  <c r="AA73" i="13"/>
  <c r="AC93" i="13"/>
  <c r="AA88" i="13"/>
  <c r="AC68" i="13"/>
  <c r="AA83" i="13"/>
  <c r="AC75" i="13"/>
  <c r="AA77" i="13"/>
  <c r="AC80" i="13"/>
  <c r="AA84" i="13"/>
  <c r="AC82" i="13"/>
  <c r="AA89" i="13"/>
  <c r="AC84" i="13"/>
  <c r="AA94" i="13"/>
  <c r="AC72" i="13"/>
  <c r="AA78" i="13"/>
  <c r="AC91" i="13"/>
  <c r="AA70" i="13"/>
  <c r="AC87" i="13"/>
  <c r="AA86" i="13"/>
  <c r="AC69" i="13"/>
  <c r="AA80" i="13"/>
  <c r="AC85" i="13"/>
  <c r="AA93" i="13"/>
  <c r="AC74" i="13"/>
  <c r="AA72" i="13"/>
  <c r="AC90" i="13"/>
  <c r="AA87" i="13"/>
  <c r="AC71" i="13"/>
  <c r="AA90" i="13"/>
  <c r="AC81" i="13"/>
  <c r="AA76" i="13"/>
  <c r="AC88" i="13"/>
  <c r="AA85" i="13"/>
  <c r="AC70" i="13"/>
  <c r="AA82" i="13"/>
  <c r="AC83" i="13"/>
  <c r="C12" i="25"/>
  <c r="E12" i="25" s="1"/>
  <c r="F12" i="25" s="1"/>
  <c r="C8" i="25"/>
  <c r="E8" i="25" s="1"/>
  <c r="F8" i="25" s="1"/>
  <c r="C33" i="25"/>
  <c r="E33" i="25" s="1"/>
  <c r="F33" i="25" s="1"/>
  <c r="C41" i="25"/>
  <c r="E41" i="25" s="1"/>
  <c r="F41" i="25" s="1"/>
  <c r="Y44" i="13"/>
  <c r="C34" i="25"/>
  <c r="E34" i="25" s="1"/>
  <c r="F34" i="25" s="1"/>
  <c r="C10" i="25"/>
  <c r="E10" i="25" s="1"/>
  <c r="F10" i="25" s="1"/>
  <c r="C54" i="25"/>
  <c r="E54" i="25" s="1"/>
  <c r="F54" i="25" s="1"/>
  <c r="Y41" i="13"/>
  <c r="C29" i="25"/>
  <c r="E29" i="25" s="1"/>
  <c r="F29" i="25" s="1"/>
  <c r="C36" i="25"/>
  <c r="E36" i="25" s="1"/>
  <c r="F36" i="25" s="1"/>
  <c r="C59" i="25"/>
  <c r="E59" i="25" s="1"/>
  <c r="F59" i="25" s="1"/>
  <c r="C37" i="25"/>
  <c r="E37" i="25" s="1"/>
  <c r="F37" i="25" s="1"/>
  <c r="C22" i="25"/>
  <c r="E22" i="25" s="1"/>
  <c r="F22" i="25" s="1"/>
  <c r="C16" i="25"/>
  <c r="E16" i="25" s="1"/>
  <c r="F16" i="25" s="1"/>
  <c r="Y48" i="13"/>
  <c r="F118" i="23"/>
  <c r="F120" i="23"/>
  <c r="G117" i="23"/>
  <c r="Y82" i="13"/>
  <c r="Y73" i="13"/>
  <c r="Y81" i="13"/>
  <c r="Y93" i="13"/>
  <c r="Y89" i="13"/>
  <c r="Y91" i="13"/>
  <c r="Y79" i="13"/>
  <c r="Y83" i="13"/>
  <c r="Y71" i="13"/>
  <c r="Y68" i="13"/>
  <c r="Y70" i="13"/>
  <c r="Y72" i="13"/>
  <c r="Y86" i="13"/>
  <c r="Y69" i="13"/>
  <c r="Y78" i="13"/>
  <c r="Y74" i="13"/>
  <c r="Y77" i="13"/>
  <c r="Y85" i="13"/>
  <c r="Y76" i="13"/>
  <c r="Y90" i="13"/>
  <c r="Y94" i="13"/>
  <c r="Y87" i="13"/>
  <c r="Y80" i="13"/>
  <c r="Y84" i="13"/>
  <c r="Y75" i="13"/>
  <c r="Y88" i="13"/>
  <c r="Y92" i="13"/>
  <c r="F78" i="22"/>
  <c r="G73" i="22"/>
  <c r="O73" i="22" s="1"/>
  <c r="F75" i="19"/>
  <c r="F65" i="19"/>
  <c r="F87" i="19"/>
  <c r="F68" i="19"/>
  <c r="F78" i="19"/>
  <c r="F77" i="19"/>
  <c r="F88" i="19"/>
  <c r="F80" i="19"/>
  <c r="F85" i="19"/>
  <c r="F89" i="19"/>
  <c r="F86" i="19"/>
  <c r="F73" i="19"/>
  <c r="F69" i="19"/>
  <c r="F84" i="19"/>
  <c r="F74" i="19"/>
  <c r="F72" i="19"/>
  <c r="F70" i="19"/>
  <c r="F90" i="19"/>
  <c r="F76" i="19"/>
  <c r="F83" i="19"/>
  <c r="F66" i="19"/>
  <c r="F82" i="19"/>
  <c r="F71" i="19"/>
  <c r="F81" i="19"/>
  <c r="F79" i="19"/>
  <c r="F67" i="19"/>
  <c r="G51" i="15" l="1"/>
  <c r="G70" i="15"/>
  <c r="F121" i="23"/>
  <c r="G121" i="23" s="1"/>
  <c r="O121" i="23" s="1"/>
  <c r="G120" i="23"/>
  <c r="O120" i="23" s="1"/>
  <c r="F119" i="23"/>
  <c r="G118" i="23"/>
  <c r="F79" i="22"/>
  <c r="G78" i="22"/>
  <c r="F122" i="23" l="1"/>
  <c r="G119" i="23"/>
  <c r="F80" i="22"/>
  <c r="G79" i="22"/>
  <c r="B94" i="19"/>
  <c r="B64" i="19"/>
  <c r="G8" i="15" l="1"/>
  <c r="H8" i="15" s="1"/>
  <c r="G17" i="15"/>
  <c r="H17" i="15" s="1"/>
  <c r="G9" i="15"/>
  <c r="G13" i="15"/>
  <c r="H13" i="15" s="1"/>
  <c r="G19" i="15"/>
  <c r="G15" i="15"/>
  <c r="G10" i="15"/>
  <c r="H10" i="15" s="1"/>
  <c r="G16" i="15"/>
  <c r="G4" i="15"/>
  <c r="G7" i="15"/>
  <c r="H7" i="15" s="1"/>
  <c r="G11" i="15"/>
  <c r="H11" i="15" s="1"/>
  <c r="G67" i="15"/>
  <c r="G12" i="15"/>
  <c r="H12" i="15" s="1"/>
  <c r="G66" i="15"/>
  <c r="G64" i="15"/>
  <c r="H64" i="15" s="1"/>
  <c r="G5" i="15"/>
  <c r="G69" i="15"/>
  <c r="G72" i="15"/>
  <c r="H72" i="15" s="1"/>
  <c r="G14" i="15"/>
  <c r="H14" i="15" s="1"/>
  <c r="G6" i="15"/>
  <c r="H6" i="15" s="1"/>
  <c r="G59" i="15"/>
  <c r="H59" i="15" s="1"/>
  <c r="G75" i="15"/>
  <c r="H75" i="15" s="1"/>
  <c r="G61" i="15"/>
  <c r="G74" i="15"/>
  <c r="G18" i="15"/>
  <c r="G21" i="15"/>
  <c r="G24" i="15"/>
  <c r="G25" i="15"/>
  <c r="G20" i="15"/>
  <c r="H20" i="15" s="1"/>
  <c r="G40" i="15"/>
  <c r="G37" i="15"/>
  <c r="G26" i="15"/>
  <c r="H26" i="15" s="1"/>
  <c r="G41" i="15"/>
  <c r="H41" i="15" s="1"/>
  <c r="G27" i="15"/>
  <c r="G43" i="15"/>
  <c r="H43" i="15" s="1"/>
  <c r="G33" i="15"/>
  <c r="G39" i="15"/>
  <c r="G38" i="15"/>
  <c r="G22" i="15"/>
  <c r="G42" i="15"/>
  <c r="H42" i="15" s="1"/>
  <c r="F123" i="23"/>
  <c r="G122" i="23"/>
  <c r="O122" i="23" s="1"/>
  <c r="F81" i="22"/>
  <c r="G80" i="22"/>
  <c r="F124" i="23" l="1"/>
  <c r="G123" i="23"/>
  <c r="O123" i="23" s="1"/>
  <c r="F82" i="22"/>
  <c r="G81" i="22"/>
  <c r="M34" i="14"/>
  <c r="E22" i="18"/>
  <c r="E16" i="18"/>
  <c r="F125" i="23" l="1"/>
  <c r="G124" i="23"/>
  <c r="O124" i="23" s="1"/>
  <c r="F83" i="22"/>
  <c r="G82" i="22"/>
  <c r="G22" i="18"/>
  <c r="K22" i="18"/>
  <c r="L22" i="18"/>
  <c r="G16" i="18"/>
  <c r="K16" i="18"/>
  <c r="L16" i="18"/>
  <c r="F126" i="23" l="1"/>
  <c r="G125" i="23"/>
  <c r="O125" i="23" s="1"/>
  <c r="F84" i="22"/>
  <c r="G83" i="22"/>
  <c r="P22" i="18"/>
  <c r="N22" i="18"/>
  <c r="P16" i="18"/>
  <c r="N16" i="18"/>
  <c r="Y20" i="13" l="1"/>
  <c r="F127" i="23"/>
  <c r="G126" i="23"/>
  <c r="O126" i="23" s="1"/>
  <c r="Y32" i="13"/>
  <c r="F85" i="22"/>
  <c r="G84" i="22"/>
  <c r="Q16" i="18"/>
  <c r="R16" i="18" s="1"/>
  <c r="Q22" i="18"/>
  <c r="R22" i="18" s="1"/>
  <c r="B114" i="19"/>
  <c r="I25" i="26" l="1"/>
  <c r="I24" i="26"/>
  <c r="O24" i="26" s="1"/>
  <c r="I44" i="26"/>
  <c r="I43" i="26"/>
  <c r="O43" i="26" s="1"/>
  <c r="I42" i="23"/>
  <c r="I41" i="23"/>
  <c r="O41" i="23" s="1"/>
  <c r="I24" i="23"/>
  <c r="O24" i="23" s="1"/>
  <c r="I25" i="23"/>
  <c r="F128" i="23"/>
  <c r="G127" i="23"/>
  <c r="O127" i="23" s="1"/>
  <c r="I42" i="22"/>
  <c r="I41" i="22"/>
  <c r="O41" i="22" s="1"/>
  <c r="I24" i="22"/>
  <c r="O24" i="22" s="1"/>
  <c r="I25" i="22"/>
  <c r="F86" i="22"/>
  <c r="G85" i="22"/>
  <c r="F129" i="23" l="1"/>
  <c r="G128" i="23"/>
  <c r="O128" i="23" s="1"/>
  <c r="F87" i="22"/>
  <c r="G86" i="22"/>
  <c r="M51" i="14"/>
  <c r="F130" i="23" l="1"/>
  <c r="G129" i="23"/>
  <c r="O129" i="23" s="1"/>
  <c r="F88" i="22"/>
  <c r="G87" i="22"/>
  <c r="M141" i="22"/>
  <c r="F131" i="23" l="1"/>
  <c r="G130" i="23"/>
  <c r="O130" i="23" s="1"/>
  <c r="F95" i="22"/>
  <c r="G88" i="22"/>
  <c r="F132" i="23" l="1"/>
  <c r="G131" i="23"/>
  <c r="O131" i="23" s="1"/>
  <c r="G95" i="22"/>
  <c r="F96" i="22"/>
  <c r="C44" i="16"/>
  <c r="C25" i="15" l="1"/>
  <c r="C14" i="19"/>
  <c r="F133" i="23"/>
  <c r="G132" i="23"/>
  <c r="O132" i="23" s="1"/>
  <c r="F97" i="22"/>
  <c r="G96" i="22"/>
  <c r="F134" i="23" l="1"/>
  <c r="G133" i="23"/>
  <c r="O133" i="23" s="1"/>
  <c r="F98" i="22"/>
  <c r="G97" i="22"/>
  <c r="F135" i="23" l="1"/>
  <c r="G134" i="23"/>
  <c r="O134" i="23" s="1"/>
  <c r="F100" i="22"/>
  <c r="F99" i="22"/>
  <c r="G98" i="22"/>
  <c r="M39" i="14"/>
  <c r="F136" i="23" l="1"/>
  <c r="G135" i="23"/>
  <c r="O135" i="23" s="1"/>
  <c r="G99" i="22"/>
  <c r="G100" i="22"/>
  <c r="F101" i="22"/>
  <c r="E27" i="18"/>
  <c r="F137" i="23" l="1"/>
  <c r="G136" i="23"/>
  <c r="F102" i="22"/>
  <c r="G101" i="22"/>
  <c r="G27" i="18"/>
  <c r="H27" i="18" s="1"/>
  <c r="M52" i="26" s="1"/>
  <c r="K27" i="18"/>
  <c r="L27" i="18"/>
  <c r="M50" i="23" l="1"/>
  <c r="E44" i="16"/>
  <c r="F25" i="15" s="1"/>
  <c r="H25" i="15" s="1"/>
  <c r="F138" i="23"/>
  <c r="G137" i="23"/>
  <c r="M50" i="22"/>
  <c r="F103" i="22"/>
  <c r="G102" i="22"/>
  <c r="N27" i="18"/>
  <c r="P27" i="18"/>
  <c r="AA18" i="13" l="1"/>
  <c r="AC18" i="13"/>
  <c r="AA14" i="13"/>
  <c r="AC14" i="13"/>
  <c r="AC13" i="13"/>
  <c r="AA13" i="13"/>
  <c r="Y13" i="13"/>
  <c r="C13" i="25"/>
  <c r="E13" i="25" s="1"/>
  <c r="F13" i="25" s="1"/>
  <c r="C21" i="25"/>
  <c r="E21" i="25" s="1"/>
  <c r="F21" i="25" s="1"/>
  <c r="C50" i="25"/>
  <c r="E50" i="25" s="1"/>
  <c r="F50" i="25" s="1"/>
  <c r="C42" i="25"/>
  <c r="E42" i="25" s="1"/>
  <c r="F42" i="25" s="1"/>
  <c r="C17" i="25"/>
  <c r="E17" i="25" s="1"/>
  <c r="F17" i="25" s="1"/>
  <c r="Y45" i="13"/>
  <c r="C53" i="25"/>
  <c r="E53" i="25" s="1"/>
  <c r="F53" i="25" s="1"/>
  <c r="C39" i="25"/>
  <c r="E39" i="25" s="1"/>
  <c r="F39" i="25" s="1"/>
  <c r="C26" i="25"/>
  <c r="E26" i="25" s="1"/>
  <c r="F26" i="25" s="1"/>
  <c r="C18" i="25"/>
  <c r="E18" i="25" s="1"/>
  <c r="F18" i="25" s="1"/>
  <c r="C31" i="25"/>
  <c r="E31" i="25" s="1"/>
  <c r="F31" i="25" s="1"/>
  <c r="C49" i="25"/>
  <c r="E49" i="25" s="1"/>
  <c r="F49" i="25" s="1"/>
  <c r="C48" i="25"/>
  <c r="E48" i="25" s="1"/>
  <c r="F48" i="25" s="1"/>
  <c r="C28" i="25"/>
  <c r="E28" i="25" s="1"/>
  <c r="F28" i="25" s="1"/>
  <c r="C51" i="25"/>
  <c r="E51" i="25" s="1"/>
  <c r="F51" i="25" s="1"/>
  <c r="C25" i="25"/>
  <c r="E25" i="25" s="1"/>
  <c r="F25" i="25" s="1"/>
  <c r="C55" i="25"/>
  <c r="E55" i="25" s="1"/>
  <c r="F55" i="25" s="1"/>
  <c r="Y11" i="13"/>
  <c r="Y49" i="13"/>
  <c r="Y17" i="13"/>
  <c r="Y23" i="13"/>
  <c r="Y43" i="13"/>
  <c r="Y12" i="13"/>
  <c r="F139" i="23"/>
  <c r="G138" i="23"/>
  <c r="O138" i="23" s="1"/>
  <c r="Y8" i="13"/>
  <c r="Y9" i="13"/>
  <c r="Y50" i="13"/>
  <c r="Y7" i="13"/>
  <c r="Y40" i="13"/>
  <c r="Y46" i="13"/>
  <c r="Y19" i="13"/>
  <c r="Y21" i="13"/>
  <c r="Y10" i="13"/>
  <c r="Y14" i="13"/>
  <c r="Y29" i="13"/>
  <c r="Y39" i="13"/>
  <c r="Y51" i="13"/>
  <c r="Y33" i="13"/>
  <c r="Y38" i="13"/>
  <c r="Y18" i="13"/>
  <c r="Y22" i="13"/>
  <c r="Y26" i="13"/>
  <c r="Y16" i="13"/>
  <c r="Y24" i="13"/>
  <c r="Y42" i="13"/>
  <c r="Y35" i="13"/>
  <c r="Y36" i="13"/>
  <c r="W9" i="13"/>
  <c r="W45" i="13"/>
  <c r="W23" i="13"/>
  <c r="W41" i="13"/>
  <c r="W36" i="13"/>
  <c r="Q27" i="18"/>
  <c r="R27" i="18" s="1"/>
  <c r="W32" i="13"/>
  <c r="W34" i="13"/>
  <c r="W29" i="13"/>
  <c r="W7" i="13"/>
  <c r="W17" i="13"/>
  <c r="W14" i="13"/>
  <c r="W16" i="13"/>
  <c r="W39" i="13"/>
  <c r="W24" i="13"/>
  <c r="W51" i="13"/>
  <c r="W8" i="13"/>
  <c r="W26" i="13"/>
  <c r="W31" i="13"/>
  <c r="W13" i="13"/>
  <c r="W21" i="13"/>
  <c r="W12" i="13"/>
  <c r="W40" i="13"/>
  <c r="W44" i="13"/>
  <c r="W46" i="13"/>
  <c r="W38" i="13"/>
  <c r="W42" i="13"/>
  <c r="W6" i="13"/>
  <c r="W10" i="13"/>
  <c r="W11" i="13"/>
  <c r="W19" i="13"/>
  <c r="W18" i="13"/>
  <c r="W28" i="13"/>
  <c r="W30" i="13"/>
  <c r="W43" i="13"/>
  <c r="W20" i="13"/>
  <c r="W33" i="13"/>
  <c r="W22" i="13"/>
  <c r="W35" i="13"/>
  <c r="F104" i="22"/>
  <c r="G103" i="22"/>
  <c r="U17" i="13"/>
  <c r="U33" i="13"/>
  <c r="U43" i="13"/>
  <c r="U19" i="13"/>
  <c r="U23" i="13"/>
  <c r="U7" i="13"/>
  <c r="U18" i="13"/>
  <c r="U28" i="13"/>
  <c r="U6" i="13"/>
  <c r="U26" i="13"/>
  <c r="U29" i="13"/>
  <c r="U8" i="13"/>
  <c r="U10" i="13"/>
  <c r="U34" i="13"/>
  <c r="U41" i="13"/>
  <c r="U9" i="13"/>
  <c r="U45" i="13"/>
  <c r="U36" i="13"/>
  <c r="U42" i="13"/>
  <c r="U38" i="13"/>
  <c r="U51" i="13"/>
  <c r="U40" i="13"/>
  <c r="U39" i="13"/>
  <c r="U32" i="13"/>
  <c r="U44" i="13"/>
  <c r="S26" i="13"/>
  <c r="S44" i="13"/>
  <c r="S41" i="13"/>
  <c r="S33" i="13"/>
  <c r="S8" i="13"/>
  <c r="S36" i="13"/>
  <c r="S39" i="13"/>
  <c r="S40" i="13"/>
  <c r="S7" i="13"/>
  <c r="S6" i="13"/>
  <c r="S9" i="13"/>
  <c r="S32" i="13"/>
  <c r="S38" i="13"/>
  <c r="S18" i="13"/>
  <c r="S29" i="13"/>
  <c r="S28" i="13"/>
  <c r="S17" i="13"/>
  <c r="R41" i="13"/>
  <c r="R38" i="13"/>
  <c r="R33" i="13"/>
  <c r="R26" i="13"/>
  <c r="R7" i="13"/>
  <c r="R44" i="13"/>
  <c r="R40" i="13"/>
  <c r="R36" i="13"/>
  <c r="R32" i="13"/>
  <c r="R29" i="13"/>
  <c r="R6" i="13"/>
  <c r="R39" i="13"/>
  <c r="R28" i="13"/>
  <c r="I52" i="26" l="1"/>
  <c r="O52" i="26" s="1"/>
  <c r="I51" i="26"/>
  <c r="O51" i="26" s="1"/>
  <c r="I49" i="22"/>
  <c r="O49" i="22" s="1"/>
  <c r="I50" i="23"/>
  <c r="O50" i="23" s="1"/>
  <c r="I49" i="23"/>
  <c r="O49" i="23" s="1"/>
  <c r="F140" i="23"/>
  <c r="G139" i="23"/>
  <c r="O139" i="23" s="1"/>
  <c r="I50" i="22"/>
  <c r="O50" i="22" s="1"/>
  <c r="F105" i="22"/>
  <c r="G104" i="22"/>
  <c r="J6" i="21"/>
  <c r="K6" i="21" s="1"/>
  <c r="J7" i="21"/>
  <c r="K7" i="21" s="1"/>
  <c r="J8" i="21"/>
  <c r="K8" i="21" s="1"/>
  <c r="F141" i="23" l="1"/>
  <c r="G140" i="23"/>
  <c r="O140" i="23" s="1"/>
  <c r="F106" i="22"/>
  <c r="G105" i="22"/>
  <c r="J5" i="21"/>
  <c r="K5" i="21" s="1"/>
  <c r="H5" i="21"/>
  <c r="J3" i="21"/>
  <c r="K3" i="21" s="1"/>
  <c r="F142" i="23" l="1"/>
  <c r="G141" i="23"/>
  <c r="O141" i="23" s="1"/>
  <c r="F107" i="22"/>
  <c r="G106" i="22"/>
  <c r="U14" i="13"/>
  <c r="S13" i="13"/>
  <c r="R13" i="13"/>
  <c r="U13" i="13"/>
  <c r="S34" i="13"/>
  <c r="R35" i="13"/>
  <c r="S35" i="13"/>
  <c r="U35" i="13"/>
  <c r="R34" i="13"/>
  <c r="U11" i="13"/>
  <c r="S24" i="13"/>
  <c r="R24" i="13"/>
  <c r="S23" i="13"/>
  <c r="U24" i="13"/>
  <c r="R23" i="13"/>
  <c r="U12" i="13"/>
  <c r="S12" i="13"/>
  <c r="R12" i="13"/>
  <c r="S31" i="13"/>
  <c r="U31" i="13"/>
  <c r="U46" i="13"/>
  <c r="S45" i="13"/>
  <c r="S46" i="13"/>
  <c r="R45" i="13"/>
  <c r="U21" i="13"/>
  <c r="U20" i="13"/>
  <c r="S20" i="13"/>
  <c r="S19" i="13"/>
  <c r="U22" i="13"/>
  <c r="S22" i="13"/>
  <c r="S21" i="13"/>
  <c r="U30" i="13"/>
  <c r="S30" i="13"/>
  <c r="S14" i="13"/>
  <c r="U16" i="13"/>
  <c r="S16" i="13"/>
  <c r="R14" i="13"/>
  <c r="S51" i="13"/>
  <c r="R43" i="13"/>
  <c r="S42" i="13"/>
  <c r="R42" i="13"/>
  <c r="S43" i="13"/>
  <c r="R11" i="13"/>
  <c r="S10" i="13"/>
  <c r="S11" i="13"/>
  <c r="R22" i="13"/>
  <c r="R19" i="13"/>
  <c r="R16" i="13"/>
  <c r="R18" i="13"/>
  <c r="R17" i="13"/>
  <c r="R20" i="13"/>
  <c r="R21" i="13"/>
  <c r="R30" i="13"/>
  <c r="R31" i="13"/>
  <c r="R8" i="13"/>
  <c r="R9" i="13"/>
  <c r="R10" i="13"/>
  <c r="R51" i="13"/>
  <c r="R46" i="13"/>
  <c r="E76" i="18"/>
  <c r="G76" i="18" s="1"/>
  <c r="H76" i="18" s="1"/>
  <c r="M141" i="26" s="1"/>
  <c r="E66" i="18"/>
  <c r="G66" i="18" s="1"/>
  <c r="E117" i="16" l="1"/>
  <c r="F66" i="15" s="1"/>
  <c r="H66" i="15" s="1"/>
  <c r="M137" i="23"/>
  <c r="M135" i="22"/>
  <c r="G142" i="23"/>
  <c r="O142" i="23" s="1"/>
  <c r="F143" i="23"/>
  <c r="F108" i="22"/>
  <c r="G107" i="22"/>
  <c r="K66" i="18"/>
  <c r="L66" i="18"/>
  <c r="L76" i="18"/>
  <c r="K76" i="18"/>
  <c r="G29" i="18"/>
  <c r="H29" i="18" s="1"/>
  <c r="M181" i="26" s="1"/>
  <c r="K29" i="18"/>
  <c r="L29" i="18"/>
  <c r="C95" i="16"/>
  <c r="C21" i="15" l="1"/>
  <c r="C7" i="19"/>
  <c r="E76" i="16"/>
  <c r="F36" i="15" s="1"/>
  <c r="M175" i="23"/>
  <c r="M173" i="22"/>
  <c r="F144" i="23"/>
  <c r="G143" i="23"/>
  <c r="O143" i="23" s="1"/>
  <c r="F109" i="22"/>
  <c r="G108" i="22"/>
  <c r="P66" i="18"/>
  <c r="N66" i="18"/>
  <c r="P29" i="18"/>
  <c r="N29" i="18"/>
  <c r="N76" i="18"/>
  <c r="P76" i="18"/>
  <c r="D26" i="18"/>
  <c r="T26" i="18" s="1"/>
  <c r="E77" i="16" l="1"/>
  <c r="E78" i="16" s="1"/>
  <c r="F145" i="23"/>
  <c r="G144" i="23"/>
  <c r="O144" i="23" s="1"/>
  <c r="Q76" i="18"/>
  <c r="R76" i="18" s="1"/>
  <c r="F110" i="22"/>
  <c r="G109" i="22"/>
  <c r="Q29" i="18"/>
  <c r="R29" i="18" s="1"/>
  <c r="Q66" i="18"/>
  <c r="R66" i="18" s="1"/>
  <c r="I183" i="26" l="1"/>
  <c r="O183" i="26" s="1"/>
  <c r="I182" i="26"/>
  <c r="O182" i="26" s="1"/>
  <c r="I181" i="26"/>
  <c r="O181" i="26" s="1"/>
  <c r="I180" i="26"/>
  <c r="O180" i="26" s="1"/>
  <c r="I135" i="22"/>
  <c r="I141" i="26"/>
  <c r="O141" i="26" s="1"/>
  <c r="I140" i="26"/>
  <c r="O140" i="26" s="1"/>
  <c r="I122" i="26"/>
  <c r="O122" i="26" s="1"/>
  <c r="I123" i="26"/>
  <c r="O123" i="26" s="1"/>
  <c r="I118" i="23"/>
  <c r="O118" i="23" s="1"/>
  <c r="I119" i="23"/>
  <c r="O119" i="23" s="1"/>
  <c r="I134" i="22"/>
  <c r="I136" i="23"/>
  <c r="O136" i="23" s="1"/>
  <c r="I137" i="23"/>
  <c r="O137" i="23" s="1"/>
  <c r="I174" i="23"/>
  <c r="I175" i="23"/>
  <c r="F146" i="23"/>
  <c r="G145" i="23"/>
  <c r="O145" i="23" s="1"/>
  <c r="I172" i="22"/>
  <c r="I173" i="22"/>
  <c r="I116" i="22"/>
  <c r="I117" i="22"/>
  <c r="F111" i="22"/>
  <c r="G110" i="22"/>
  <c r="F147" i="23" l="1"/>
  <c r="G146" i="23"/>
  <c r="O146" i="23" s="1"/>
  <c r="F112" i="22"/>
  <c r="G111" i="22"/>
  <c r="L49" i="16"/>
  <c r="L50" i="16"/>
  <c r="F148" i="23" l="1"/>
  <c r="G147" i="23"/>
  <c r="O147" i="23" s="1"/>
  <c r="F113" i="22"/>
  <c r="G112" i="22"/>
  <c r="E28" i="18"/>
  <c r="F149" i="23" l="1"/>
  <c r="G148" i="23"/>
  <c r="O148" i="23" s="1"/>
  <c r="F114" i="22"/>
  <c r="G113" i="22"/>
  <c r="G28" i="18"/>
  <c r="H28" i="18" s="1"/>
  <c r="M65" i="26" s="1"/>
  <c r="K28" i="18"/>
  <c r="L28" i="18"/>
  <c r="M63" i="23" l="1"/>
  <c r="E96" i="16"/>
  <c r="F52" i="15" s="1"/>
  <c r="H52" i="15" s="1"/>
  <c r="F150" i="23"/>
  <c r="G149" i="23"/>
  <c r="O149" i="23" s="1"/>
  <c r="M61" i="22"/>
  <c r="F115" i="22"/>
  <c r="G114" i="22"/>
  <c r="P28" i="18"/>
  <c r="N28" i="18"/>
  <c r="E97" i="16" l="1"/>
  <c r="E98" i="16" s="1"/>
  <c r="F151" i="23"/>
  <c r="G150" i="23"/>
  <c r="O150" i="23" s="1"/>
  <c r="Q28" i="18"/>
  <c r="R28" i="18" s="1"/>
  <c r="F118" i="22"/>
  <c r="F116" i="22"/>
  <c r="G115" i="22"/>
  <c r="M32" i="14"/>
  <c r="I67" i="26" l="1"/>
  <c r="O67" i="26" s="1"/>
  <c r="I66" i="26"/>
  <c r="O66" i="26" s="1"/>
  <c r="I65" i="26"/>
  <c r="O65" i="26" s="1"/>
  <c r="I64" i="26"/>
  <c r="O64" i="26" s="1"/>
  <c r="I61" i="22"/>
  <c r="O61" i="22" s="1"/>
  <c r="I62" i="23"/>
  <c r="O62" i="23" s="1"/>
  <c r="I63" i="23"/>
  <c r="O63" i="23" s="1"/>
  <c r="F152" i="23"/>
  <c r="G151" i="23"/>
  <c r="I60" i="22"/>
  <c r="O60" i="22" s="1"/>
  <c r="F117" i="22"/>
  <c r="G116" i="22"/>
  <c r="O116" i="22" s="1"/>
  <c r="F119" i="22"/>
  <c r="G119" i="22" s="1"/>
  <c r="O119" i="22" s="1"/>
  <c r="G118" i="22"/>
  <c r="O118" i="22" s="1"/>
  <c r="E86" i="18"/>
  <c r="F153" i="23" l="1"/>
  <c r="G152" i="23"/>
  <c r="F120" i="22"/>
  <c r="G117" i="22"/>
  <c r="O117" i="22" s="1"/>
  <c r="G86" i="18"/>
  <c r="H86" i="18" s="1"/>
  <c r="M156" i="26" s="1"/>
  <c r="K86" i="18"/>
  <c r="L86" i="18"/>
  <c r="E18" i="18"/>
  <c r="M152" i="23" l="1"/>
  <c r="E147" i="16"/>
  <c r="F31" i="15" s="1"/>
  <c r="H31" i="15" s="1"/>
  <c r="F154" i="23"/>
  <c r="G153" i="23"/>
  <c r="O153" i="23" s="1"/>
  <c r="M150" i="22"/>
  <c r="F121" i="22"/>
  <c r="G120" i="22"/>
  <c r="O120" i="22" s="1"/>
  <c r="N86" i="18"/>
  <c r="P86" i="18"/>
  <c r="G18" i="18"/>
  <c r="H18" i="18" s="1"/>
  <c r="M21" i="26" s="1"/>
  <c r="K18" i="18"/>
  <c r="L18" i="18"/>
  <c r="M21" i="23" l="1"/>
  <c r="E18" i="16"/>
  <c r="F22" i="15" s="1"/>
  <c r="H22" i="15" s="1"/>
  <c r="G154" i="23"/>
  <c r="O154" i="23" s="1"/>
  <c r="F155" i="23"/>
  <c r="J18" i="18"/>
  <c r="M21" i="22"/>
  <c r="F122" i="22"/>
  <c r="G121" i="22"/>
  <c r="O121" i="22" s="1"/>
  <c r="P18" i="18"/>
  <c r="N18" i="18"/>
  <c r="Q86" i="18"/>
  <c r="R86" i="18" s="1"/>
  <c r="I156" i="26" l="1"/>
  <c r="O156" i="26" s="1"/>
  <c r="I155" i="26"/>
  <c r="O155" i="26" s="1"/>
  <c r="I151" i="23"/>
  <c r="O151" i="23" s="1"/>
  <c r="I152" i="23"/>
  <c r="O152" i="23" s="1"/>
  <c r="F156" i="23"/>
  <c r="G155" i="23"/>
  <c r="O155" i="23" s="1"/>
  <c r="I150" i="22"/>
  <c r="I149" i="22"/>
  <c r="F123" i="22"/>
  <c r="G122" i="22"/>
  <c r="O122" i="22" s="1"/>
  <c r="Q18" i="18"/>
  <c r="R18" i="18" s="1"/>
  <c r="I21" i="26" l="1"/>
  <c r="O21" i="26" s="1"/>
  <c r="I20" i="26"/>
  <c r="O20" i="26" s="1"/>
  <c r="I21" i="23"/>
  <c r="O21" i="23" s="1"/>
  <c r="I20" i="23"/>
  <c r="O20" i="23" s="1"/>
  <c r="F157" i="23"/>
  <c r="G156" i="23"/>
  <c r="O156" i="23" s="1"/>
  <c r="I21" i="22"/>
  <c r="O21" i="22" s="1"/>
  <c r="I20" i="22"/>
  <c r="O20" i="22" s="1"/>
  <c r="F124" i="22"/>
  <c r="G123" i="22"/>
  <c r="O123" i="22" s="1"/>
  <c r="C64" i="19"/>
  <c r="F158" i="23" l="1"/>
  <c r="G157" i="23"/>
  <c r="O157" i="23" s="1"/>
  <c r="F125" i="22"/>
  <c r="G124" i="22"/>
  <c r="O124" i="22" s="1"/>
  <c r="F159" i="23" l="1"/>
  <c r="G158" i="23"/>
  <c r="O158" i="23" s="1"/>
  <c r="F126" i="22"/>
  <c r="G125" i="22"/>
  <c r="O125" i="22" s="1"/>
  <c r="D71" i="16"/>
  <c r="C71" i="16"/>
  <c r="D43" i="18"/>
  <c r="T43" i="18" s="1"/>
  <c r="C47" i="15" l="1"/>
  <c r="C26" i="19"/>
  <c r="D47" i="15"/>
  <c r="D26" i="19"/>
  <c r="F160" i="23"/>
  <c r="G159" i="23"/>
  <c r="O159" i="23" s="1"/>
  <c r="F127" i="22"/>
  <c r="G126" i="22"/>
  <c r="O126" i="22" s="1"/>
  <c r="F162" i="23" l="1"/>
  <c r="F161" i="23"/>
  <c r="G160" i="23"/>
  <c r="F128" i="22"/>
  <c r="G127" i="22"/>
  <c r="O127" i="22" s="1"/>
  <c r="J4" i="21"/>
  <c r="K4" i="21" s="1"/>
  <c r="H4" i="21"/>
  <c r="I4" i="21"/>
  <c r="A6" i="19"/>
  <c r="A7" i="19" s="1"/>
  <c r="A8" i="19" s="1"/>
  <c r="A9" i="19" s="1"/>
  <c r="A10" i="19" s="1"/>
  <c r="A11" i="19" s="1"/>
  <c r="A12" i="19" s="1"/>
  <c r="A13" i="19" s="1"/>
  <c r="A14" i="19" s="1"/>
  <c r="A15" i="19" s="1"/>
  <c r="A16" i="19" s="1"/>
  <c r="A17" i="19" s="1"/>
  <c r="A18" i="19" s="1"/>
  <c r="A19" i="19" s="1"/>
  <c r="A20" i="19" s="1"/>
  <c r="A21" i="19" s="1"/>
  <c r="A22" i="19" s="1"/>
  <c r="A23" i="19" s="1"/>
  <c r="A24" i="19" s="1"/>
  <c r="A25" i="19" s="1"/>
  <c r="A26" i="19" s="1"/>
  <c r="A27" i="19" s="1"/>
  <c r="A28" i="19" s="1"/>
  <c r="A29" i="19" s="1"/>
  <c r="A30" i="19" s="1"/>
  <c r="A31" i="19" s="1"/>
  <c r="A32" i="19" s="1"/>
  <c r="A33" i="19" s="1"/>
  <c r="A34" i="19" s="1"/>
  <c r="A35" i="19" s="1"/>
  <c r="A36" i="19" s="1"/>
  <c r="A37" i="19" s="1"/>
  <c r="A38" i="19" s="1"/>
  <c r="A39" i="19" s="1"/>
  <c r="A40" i="19" s="1"/>
  <c r="A41" i="19" s="1"/>
  <c r="A42" i="19" s="1"/>
  <c r="A43" i="19" s="1"/>
  <c r="A44" i="19" s="1"/>
  <c r="A45" i="19" s="1"/>
  <c r="A46" i="19" s="1"/>
  <c r="A47" i="19" s="1"/>
  <c r="A48" i="19" s="1"/>
  <c r="A49" i="19" s="1"/>
  <c r="A50" i="19" s="1"/>
  <c r="A51" i="19" s="1"/>
  <c r="A52" i="19" s="1"/>
  <c r="A53" i="19" s="1"/>
  <c r="A54" i="19" s="1"/>
  <c r="A55" i="19" s="1"/>
  <c r="A56" i="19" s="1"/>
  <c r="A57" i="19" s="1"/>
  <c r="A58" i="19" s="1"/>
  <c r="A59" i="19" s="1"/>
  <c r="A60" i="19" s="1"/>
  <c r="O160" i="23" l="1"/>
  <c r="G161" i="23"/>
  <c r="O161" i="23" s="1"/>
  <c r="G162" i="23"/>
  <c r="O162" i="23" s="1"/>
  <c r="F163" i="23"/>
  <c r="F129" i="22"/>
  <c r="G128" i="22"/>
  <c r="O128" i="22" s="1"/>
  <c r="F164" i="23" l="1"/>
  <c r="G163" i="23"/>
  <c r="O163" i="23" s="1"/>
  <c r="F130" i="22"/>
  <c r="G129" i="22"/>
  <c r="O129" i="22" s="1"/>
  <c r="F165" i="23" l="1"/>
  <c r="G164" i="23"/>
  <c r="O164" i="23" s="1"/>
  <c r="F131" i="22"/>
  <c r="G130" i="22"/>
  <c r="O130" i="22" s="1"/>
  <c r="G74" i="16"/>
  <c r="K74" i="16" s="1"/>
  <c r="F166" i="23" l="1"/>
  <c r="G165" i="23"/>
  <c r="O165" i="23" s="1"/>
  <c r="F132" i="22"/>
  <c r="G131" i="22"/>
  <c r="O131" i="22" s="1"/>
  <c r="E103" i="18"/>
  <c r="G103" i="18" s="1"/>
  <c r="H103" i="18" s="1"/>
  <c r="M194" i="26" s="1"/>
  <c r="M52" i="14"/>
  <c r="E148" i="16" l="1"/>
  <c r="F33" i="15" s="1"/>
  <c r="H33" i="15" s="1"/>
  <c r="M184" i="23"/>
  <c r="M182" i="22"/>
  <c r="F167" i="23"/>
  <c r="G166" i="23"/>
  <c r="O166" i="23" s="1"/>
  <c r="F133" i="22"/>
  <c r="G132" i="22"/>
  <c r="O132" i="22" s="1"/>
  <c r="K103" i="18"/>
  <c r="L103" i="18"/>
  <c r="E149" i="16" l="1"/>
  <c r="E150" i="16" s="1"/>
  <c r="F168" i="23"/>
  <c r="G167" i="23"/>
  <c r="O167" i="23" s="1"/>
  <c r="F134" i="22"/>
  <c r="G133" i="22"/>
  <c r="O133" i="22" s="1"/>
  <c r="N103" i="18"/>
  <c r="P103" i="18"/>
  <c r="F169" i="23" l="1"/>
  <c r="G168" i="23"/>
  <c r="O168" i="23" s="1"/>
  <c r="G134" i="22"/>
  <c r="O134" i="22" s="1"/>
  <c r="F135" i="22"/>
  <c r="Q103" i="18"/>
  <c r="R103" i="18" s="1"/>
  <c r="I194" i="26" l="1"/>
  <c r="O194" i="26" s="1"/>
  <c r="I193" i="26"/>
  <c r="O193" i="26" s="1"/>
  <c r="I195" i="26"/>
  <c r="O195" i="26" s="1"/>
  <c r="I196" i="26"/>
  <c r="O196" i="26" s="1"/>
  <c r="I184" i="23"/>
  <c r="I183" i="23"/>
  <c r="F170" i="23"/>
  <c r="G169" i="23"/>
  <c r="O169" i="23" s="1"/>
  <c r="I182" i="22"/>
  <c r="I181" i="22"/>
  <c r="F136" i="22"/>
  <c r="G135" i="22"/>
  <c r="O135" i="22" s="1"/>
  <c r="E43" i="18"/>
  <c r="F171" i="23" l="1"/>
  <c r="G170" i="23"/>
  <c r="O170" i="23" s="1"/>
  <c r="F137" i="22"/>
  <c r="G136" i="22"/>
  <c r="O136" i="22" s="1"/>
  <c r="G43" i="18"/>
  <c r="H43" i="18" s="1"/>
  <c r="E71" i="16" s="1"/>
  <c r="F47" i="15" s="1"/>
  <c r="H47" i="15" s="1"/>
  <c r="K43" i="18"/>
  <c r="L43" i="18"/>
  <c r="F172" i="23" l="1"/>
  <c r="G171" i="23"/>
  <c r="O171" i="23" s="1"/>
  <c r="F138" i="22"/>
  <c r="G137" i="22"/>
  <c r="O137" i="22" s="1"/>
  <c r="P43" i="18"/>
  <c r="N43" i="18"/>
  <c r="M36" i="14"/>
  <c r="F173" i="23" l="1"/>
  <c r="G172" i="23"/>
  <c r="O172" i="23" s="1"/>
  <c r="F139" i="22"/>
  <c r="G138" i="22"/>
  <c r="O138" i="22" s="1"/>
  <c r="Q43" i="18"/>
  <c r="R43" i="18" s="1"/>
  <c r="I92" i="23" l="1"/>
  <c r="O92" i="23" s="1"/>
  <c r="I96" i="26"/>
  <c r="O96" i="26" s="1"/>
  <c r="F174" i="23"/>
  <c r="G173" i="23"/>
  <c r="O173" i="23" s="1"/>
  <c r="I90" i="22"/>
  <c r="O90" i="22" s="1"/>
  <c r="F140" i="22"/>
  <c r="G139" i="22"/>
  <c r="O139" i="22" s="1"/>
  <c r="F175" i="23" l="1"/>
  <c r="G174" i="23"/>
  <c r="O174" i="23" s="1"/>
  <c r="F141" i="22"/>
  <c r="G140" i="22"/>
  <c r="O140" i="22" s="1"/>
  <c r="F176" i="23" l="1"/>
  <c r="G175" i="23"/>
  <c r="O175" i="23" s="1"/>
  <c r="F142" i="22"/>
  <c r="G141" i="22"/>
  <c r="O141" i="22" s="1"/>
  <c r="G176" i="23" l="1"/>
  <c r="O176" i="23" s="1"/>
  <c r="F177" i="23"/>
  <c r="F143" i="22"/>
  <c r="G142" i="22"/>
  <c r="O142" i="22" s="1"/>
  <c r="F178" i="23" l="1"/>
  <c r="G177" i="23"/>
  <c r="O177" i="23" s="1"/>
  <c r="F144" i="22"/>
  <c r="G143" i="22"/>
  <c r="O143" i="22" s="1"/>
  <c r="F179" i="23" l="1"/>
  <c r="G178" i="23"/>
  <c r="O178" i="23" s="1"/>
  <c r="G144" i="22"/>
  <c r="O144" i="22" s="1"/>
  <c r="F145" i="22"/>
  <c r="A102" i="13"/>
  <c r="A103" i="13" s="1"/>
  <c r="A104" i="13" s="1"/>
  <c r="A105" i="13" s="1"/>
  <c r="A106" i="13" s="1"/>
  <c r="A69" i="13"/>
  <c r="A70" i="13" s="1"/>
  <c r="A71" i="13" s="1"/>
  <c r="A72" i="13" s="1"/>
  <c r="A73" i="13" s="1"/>
  <c r="A74" i="13" s="1"/>
  <c r="A75" i="13" s="1"/>
  <c r="A76" i="13" s="1"/>
  <c r="A77" i="13" s="1"/>
  <c r="A78" i="13" s="1"/>
  <c r="A79" i="13" s="1"/>
  <c r="A80" i="13" s="1"/>
  <c r="A81" i="13" s="1"/>
  <c r="A82" i="13" s="1"/>
  <c r="A83" i="13" s="1"/>
  <c r="A84" i="13" s="1"/>
  <c r="A85" i="13" s="1"/>
  <c r="A86" i="13" s="1"/>
  <c r="A87" i="13" s="1"/>
  <c r="A88" i="13" s="1"/>
  <c r="A89" i="13" s="1"/>
  <c r="A90" i="13" s="1"/>
  <c r="A91" i="13" s="1"/>
  <c r="A92" i="13" s="1"/>
  <c r="A93" i="13" s="1"/>
  <c r="A94" i="13" s="1"/>
  <c r="A107" i="13" l="1"/>
  <c r="A108" i="13" s="1"/>
  <c r="A109" i="13" s="1"/>
  <c r="A110" i="13" s="1"/>
  <c r="A111" i="13" s="1"/>
  <c r="A112" i="13" s="1"/>
  <c r="A113" i="13" s="1"/>
  <c r="A114" i="13" s="1"/>
  <c r="A115" i="13" s="1"/>
  <c r="A116" i="13" s="1"/>
  <c r="A117" i="13" s="1"/>
  <c r="F180" i="23"/>
  <c r="G179" i="23"/>
  <c r="O179" i="23" s="1"/>
  <c r="F146" i="22"/>
  <c r="G145" i="22"/>
  <c r="O145" i="22" s="1"/>
  <c r="M12" i="14"/>
  <c r="F181" i="23" l="1"/>
  <c r="G180" i="23"/>
  <c r="O180" i="23" s="1"/>
  <c r="F147" i="22"/>
  <c r="G146" i="22"/>
  <c r="O146" i="22" s="1"/>
  <c r="G181" i="23" l="1"/>
  <c r="O181" i="23" s="1"/>
  <c r="F182" i="23"/>
  <c r="F148" i="22"/>
  <c r="G147" i="22"/>
  <c r="O147" i="22" s="1"/>
  <c r="M40" i="14"/>
  <c r="M31" i="14"/>
  <c r="M25" i="14"/>
  <c r="M26" i="14"/>
  <c r="M57" i="14"/>
  <c r="M56" i="14"/>
  <c r="O40" i="14" l="1"/>
  <c r="O39" i="14"/>
  <c r="F183" i="23"/>
  <c r="G182" i="23"/>
  <c r="O182" i="23" s="1"/>
  <c r="F149" i="22"/>
  <c r="G148" i="22"/>
  <c r="O148" i="22" s="1"/>
  <c r="F184" i="23" l="1"/>
  <c r="G183" i="23"/>
  <c r="O183" i="23" s="1"/>
  <c r="F150" i="22"/>
  <c r="G149" i="22"/>
  <c r="O149" i="22" s="1"/>
  <c r="F185" i="23" l="1"/>
  <c r="G185" i="23" s="1"/>
  <c r="O185" i="23" s="1"/>
  <c r="G184" i="23"/>
  <c r="O184" i="23" s="1"/>
  <c r="F151" i="22"/>
  <c r="G150" i="22"/>
  <c r="O150" i="22" s="1"/>
  <c r="M46" i="14"/>
  <c r="M20" i="14"/>
  <c r="M21" i="14"/>
  <c r="M14" i="14"/>
  <c r="M35" i="14"/>
  <c r="M11" i="14"/>
  <c r="M50" i="14"/>
  <c r="M42" i="14"/>
  <c r="M7" i="14"/>
  <c r="O44" i="14" l="1"/>
  <c r="O21" i="14"/>
  <c r="O46" i="14"/>
  <c r="O20" i="14"/>
  <c r="O42" i="14"/>
  <c r="O7" i="14"/>
  <c r="O29" i="14"/>
  <c r="O43" i="14"/>
  <c r="O52" i="14"/>
  <c r="O13" i="14"/>
  <c r="O30" i="14"/>
  <c r="O36" i="14"/>
  <c r="F152" i="22"/>
  <c r="G151" i="22"/>
  <c r="O151" i="22" s="1"/>
  <c r="D64" i="19"/>
  <c r="G152" i="22" l="1"/>
  <c r="O152" i="22" s="1"/>
  <c r="F153" i="22"/>
  <c r="Q42" i="13"/>
  <c r="P42" i="13"/>
  <c r="E64" i="19"/>
  <c r="F154" i="22" l="1"/>
  <c r="G153" i="22"/>
  <c r="O153" i="22" s="1"/>
  <c r="F155" i="22" l="1"/>
  <c r="G154" i="22"/>
  <c r="O154" i="22" s="1"/>
  <c r="G13" i="16"/>
  <c r="E33" i="18"/>
  <c r="F156" i="22" l="1"/>
  <c r="G155" i="22"/>
  <c r="O155" i="22" s="1"/>
  <c r="G33" i="18"/>
  <c r="H33" i="18" s="1"/>
  <c r="E13" i="16" s="1"/>
  <c r="L33" i="18"/>
  <c r="K33" i="18"/>
  <c r="K13" i="16"/>
  <c r="F157" i="22" l="1"/>
  <c r="G156" i="22"/>
  <c r="O156" i="22" s="1"/>
  <c r="P33" i="18"/>
  <c r="N33" i="18"/>
  <c r="F158" i="22" l="1"/>
  <c r="G157" i="22"/>
  <c r="O157" i="22" s="1"/>
  <c r="Q33" i="18"/>
  <c r="R33" i="18" s="1"/>
  <c r="C36" i="18"/>
  <c r="T36" i="18" s="1"/>
  <c r="I16" i="23" l="1"/>
  <c r="O16" i="23" s="1"/>
  <c r="I16" i="26"/>
  <c r="O16" i="26" s="1"/>
  <c r="I16" i="22"/>
  <c r="O16" i="22" s="1"/>
  <c r="F160" i="22"/>
  <c r="F159" i="22"/>
  <c r="G158" i="22"/>
  <c r="F17" i="20"/>
  <c r="F16" i="20"/>
  <c r="F15" i="20"/>
  <c r="F14" i="20"/>
  <c r="F13" i="20"/>
  <c r="F12" i="20"/>
  <c r="F11" i="20"/>
  <c r="F10" i="20"/>
  <c r="F9" i="20"/>
  <c r="F3" i="20"/>
  <c r="E17" i="20"/>
  <c r="E16" i="20"/>
  <c r="E15" i="20"/>
  <c r="E14" i="20"/>
  <c r="E13" i="20"/>
  <c r="E12" i="20"/>
  <c r="E11" i="20"/>
  <c r="E10" i="20"/>
  <c r="E9" i="20"/>
  <c r="E3" i="20"/>
  <c r="O158" i="22" l="1"/>
  <c r="G159" i="22"/>
  <c r="O159" i="22" s="1"/>
  <c r="G160" i="22"/>
  <c r="O160" i="22" s="1"/>
  <c r="F161" i="22"/>
  <c r="C50" i="16"/>
  <c r="C40" i="15" l="1"/>
  <c r="C20" i="19"/>
  <c r="F162" i="22"/>
  <c r="G161" i="22"/>
  <c r="O161" i="22" s="1"/>
  <c r="F163" i="22" l="1"/>
  <c r="G162" i="22"/>
  <c r="O162" i="22" s="1"/>
  <c r="G90" i="16"/>
  <c r="K90" i="16" s="1"/>
  <c r="F164" i="22" l="1"/>
  <c r="G163" i="22"/>
  <c r="O163" i="22" s="1"/>
  <c r="G81" i="16"/>
  <c r="K81" i="16" s="1"/>
  <c r="G45" i="16"/>
  <c r="E36" i="18"/>
  <c r="G46" i="16"/>
  <c r="K46" i="16" l="1"/>
  <c r="F165" i="22"/>
  <c r="G164" i="22"/>
  <c r="O164" i="22" s="1"/>
  <c r="G36" i="18"/>
  <c r="H36" i="18" s="1"/>
  <c r="E46" i="16" s="1"/>
  <c r="E47" i="16" s="1"/>
  <c r="K36" i="18"/>
  <c r="L36" i="18"/>
  <c r="D94" i="19"/>
  <c r="E94" i="19" s="1"/>
  <c r="C94" i="19"/>
  <c r="F166" i="22" l="1"/>
  <c r="G165" i="22"/>
  <c r="O165" i="22" s="1"/>
  <c r="N36" i="18"/>
  <c r="P36" i="18"/>
  <c r="G9" i="20"/>
  <c r="H9" i="20" s="1"/>
  <c r="F7" i="20"/>
  <c r="Q36" i="18" l="1"/>
  <c r="R36" i="18" s="1"/>
  <c r="I62" i="26" s="1"/>
  <c r="F167" i="22"/>
  <c r="G166" i="22"/>
  <c r="O166" i="22" s="1"/>
  <c r="E7" i="20"/>
  <c r="I63" i="26" l="1"/>
  <c r="O63" i="26" s="1"/>
  <c r="O62" i="26"/>
  <c r="I60" i="23"/>
  <c r="F168" i="22"/>
  <c r="G167" i="22"/>
  <c r="O167" i="22" s="1"/>
  <c r="F42" i="16"/>
  <c r="I61" i="23" l="1"/>
  <c r="O61" i="23" s="1"/>
  <c r="O60" i="23"/>
  <c r="F169" i="22"/>
  <c r="G168" i="22"/>
  <c r="O168" i="22" s="1"/>
  <c r="J10" i="20"/>
  <c r="J9" i="20"/>
  <c r="I3" i="20"/>
  <c r="T17" i="20"/>
  <c r="U17" i="20" s="1"/>
  <c r="T15" i="20"/>
  <c r="U15" i="20" s="1"/>
  <c r="T14" i="20"/>
  <c r="U14" i="20" s="1"/>
  <c r="T12" i="20"/>
  <c r="U12" i="20" s="1"/>
  <c r="T11" i="20"/>
  <c r="U11" i="20" s="1"/>
  <c r="T10" i="20"/>
  <c r="U10" i="20" s="1"/>
  <c r="T9" i="20"/>
  <c r="U9" i="20" s="1"/>
  <c r="T3" i="20"/>
  <c r="U3" i="20" s="1"/>
  <c r="F170" i="22" l="1"/>
  <c r="G169" i="22"/>
  <c r="O169" i="22" s="1"/>
  <c r="P11" i="13"/>
  <c r="E4" i="20"/>
  <c r="E5" i="20"/>
  <c r="E6" i="20"/>
  <c r="E8" i="20"/>
  <c r="E18" i="20"/>
  <c r="E19" i="20"/>
  <c r="E20" i="20"/>
  <c r="E21" i="20"/>
  <c r="E22" i="20"/>
  <c r="E23" i="20"/>
  <c r="E24" i="20"/>
  <c r="E25" i="20"/>
  <c r="E26" i="20"/>
  <c r="E27" i="20"/>
  <c r="E28" i="20"/>
  <c r="E29" i="20"/>
  <c r="E30" i="20"/>
  <c r="E31" i="20"/>
  <c r="E32" i="20"/>
  <c r="E33" i="20"/>
  <c r="F171" i="22" l="1"/>
  <c r="G170" i="22"/>
  <c r="O170" i="22" s="1"/>
  <c r="D12" i="18"/>
  <c r="T12" i="18" s="1"/>
  <c r="F172" i="22" l="1"/>
  <c r="G171" i="22"/>
  <c r="O171" i="22" s="1"/>
  <c r="M48" i="14"/>
  <c r="O51" i="14" l="1"/>
  <c r="F173" i="22"/>
  <c r="G172" i="22"/>
  <c r="O172" i="22" s="1"/>
  <c r="E26" i="18"/>
  <c r="F174" i="22" l="1"/>
  <c r="G173" i="22"/>
  <c r="O173" i="22" s="1"/>
  <c r="G26" i="18"/>
  <c r="H26" i="18" s="1"/>
  <c r="M93" i="26" s="1"/>
  <c r="K26" i="18"/>
  <c r="L26" i="18"/>
  <c r="H8" i="21"/>
  <c r="H7" i="21"/>
  <c r="I7" i="21"/>
  <c r="I6" i="21"/>
  <c r="H6" i="21"/>
  <c r="I3" i="21"/>
  <c r="H3" i="21"/>
  <c r="J19" i="20"/>
  <c r="K19" i="20" s="1"/>
  <c r="I19" i="20"/>
  <c r="G19" i="20"/>
  <c r="H19" i="20" s="1"/>
  <c r="G23" i="20"/>
  <c r="H23" i="20" s="1"/>
  <c r="I22" i="20"/>
  <c r="G18" i="20"/>
  <c r="H18" i="20" s="1"/>
  <c r="I17" i="20"/>
  <c r="G14" i="20"/>
  <c r="H14" i="20" s="1"/>
  <c r="I13" i="20"/>
  <c r="G10" i="20"/>
  <c r="H10" i="20" s="1"/>
  <c r="I9" i="20"/>
  <c r="G6" i="20"/>
  <c r="H6" i="20" s="1"/>
  <c r="I5" i="20"/>
  <c r="C33" i="20"/>
  <c r="J33" i="20" s="1"/>
  <c r="J32" i="20"/>
  <c r="K32" i="20" s="1"/>
  <c r="I32" i="20"/>
  <c r="G32" i="20"/>
  <c r="H32" i="20" s="1"/>
  <c r="C31" i="20"/>
  <c r="G31" i="20" s="1"/>
  <c r="H31" i="20" s="1"/>
  <c r="C30" i="20"/>
  <c r="J30" i="20" s="1"/>
  <c r="K30" i="20" s="1"/>
  <c r="J29" i="20"/>
  <c r="K29" i="20" s="1"/>
  <c r="I29" i="20"/>
  <c r="G29" i="20"/>
  <c r="H29" i="20" s="1"/>
  <c r="C28" i="20"/>
  <c r="G28" i="20" s="1"/>
  <c r="H28" i="20" s="1"/>
  <c r="C27" i="20"/>
  <c r="C26" i="20"/>
  <c r="G26" i="20" s="1"/>
  <c r="H26" i="20" s="1"/>
  <c r="J25" i="20"/>
  <c r="K25" i="20" s="1"/>
  <c r="I25" i="20"/>
  <c r="G25" i="20"/>
  <c r="H25" i="20" s="1"/>
  <c r="J24" i="20"/>
  <c r="K24" i="20" s="1"/>
  <c r="I24" i="20"/>
  <c r="G24" i="20"/>
  <c r="H24" i="20" s="1"/>
  <c r="J23" i="20"/>
  <c r="K23" i="20" s="1"/>
  <c r="I23" i="20"/>
  <c r="J22" i="20"/>
  <c r="K22" i="20" s="1"/>
  <c r="J21" i="20"/>
  <c r="K21" i="20" s="1"/>
  <c r="I21" i="20"/>
  <c r="G21" i="20"/>
  <c r="H21" i="20" s="1"/>
  <c r="J20" i="20"/>
  <c r="K20" i="20" s="1"/>
  <c r="I20" i="20"/>
  <c r="G20" i="20"/>
  <c r="H20" i="20" s="1"/>
  <c r="J18" i="20"/>
  <c r="K18" i="20" s="1"/>
  <c r="I18" i="20"/>
  <c r="J17" i="20"/>
  <c r="K17" i="20" s="1"/>
  <c r="J16" i="20"/>
  <c r="K16" i="20" s="1"/>
  <c r="I16" i="20"/>
  <c r="G16" i="20"/>
  <c r="H16" i="20" s="1"/>
  <c r="J15" i="20"/>
  <c r="K15" i="20" s="1"/>
  <c r="I15" i="20"/>
  <c r="G15" i="20"/>
  <c r="H15" i="20" s="1"/>
  <c r="J14" i="20"/>
  <c r="K14" i="20" s="1"/>
  <c r="I14" i="20"/>
  <c r="J13" i="20"/>
  <c r="K13" i="20" s="1"/>
  <c r="J12" i="20"/>
  <c r="K12" i="20" s="1"/>
  <c r="I12" i="20"/>
  <c r="G12" i="20"/>
  <c r="H12" i="20" s="1"/>
  <c r="J11" i="20"/>
  <c r="K11" i="20" s="1"/>
  <c r="I11" i="20"/>
  <c r="G11" i="20"/>
  <c r="H11" i="20" s="1"/>
  <c r="K10" i="20"/>
  <c r="I10" i="20"/>
  <c r="K9" i="20"/>
  <c r="J8" i="20"/>
  <c r="K8" i="20" s="1"/>
  <c r="I8" i="20"/>
  <c r="G8" i="20"/>
  <c r="H8" i="20" s="1"/>
  <c r="J7" i="20"/>
  <c r="N7" i="20" s="1"/>
  <c r="O7" i="20" s="1"/>
  <c r="I7" i="20"/>
  <c r="G7" i="20"/>
  <c r="H7" i="20" s="1"/>
  <c r="J6" i="20"/>
  <c r="K6" i="20" s="1"/>
  <c r="I6" i="20"/>
  <c r="J5" i="20"/>
  <c r="K5" i="20" s="1"/>
  <c r="J4" i="20"/>
  <c r="K4" i="20" s="1"/>
  <c r="I4" i="20"/>
  <c r="G4" i="20"/>
  <c r="H4" i="20" s="1"/>
  <c r="J3" i="20"/>
  <c r="K3" i="20" s="1"/>
  <c r="G3" i="20"/>
  <c r="H3" i="20" s="1"/>
  <c r="M89" i="23" l="1"/>
  <c r="E95" i="16"/>
  <c r="F21" i="15" s="1"/>
  <c r="H21" i="15" s="1"/>
  <c r="M87" i="22"/>
  <c r="G33" i="20"/>
  <c r="H33" i="20" s="1"/>
  <c r="I26" i="20"/>
  <c r="I28" i="20"/>
  <c r="F175" i="22"/>
  <c r="G174" i="22"/>
  <c r="O174" i="22" s="1"/>
  <c r="P26" i="18"/>
  <c r="N26" i="18"/>
  <c r="I31" i="20"/>
  <c r="G30" i="20"/>
  <c r="H30" i="20" s="1"/>
  <c r="J26" i="18"/>
  <c r="I5" i="21"/>
  <c r="I8" i="21"/>
  <c r="G17" i="20"/>
  <c r="H17" i="20" s="1"/>
  <c r="G5" i="20"/>
  <c r="H5" i="20" s="1"/>
  <c r="G13" i="20"/>
  <c r="H13" i="20" s="1"/>
  <c r="G22" i="20"/>
  <c r="H22" i="20" s="1"/>
  <c r="I27" i="20"/>
  <c r="N33" i="20"/>
  <c r="O33" i="20" s="1"/>
  <c r="K33" i="20"/>
  <c r="J27" i="20"/>
  <c r="K7" i="20"/>
  <c r="N9" i="20"/>
  <c r="O9" i="20" s="1"/>
  <c r="N10" i="20"/>
  <c r="O10" i="20" s="1"/>
  <c r="N11" i="20"/>
  <c r="O11" i="20" s="1"/>
  <c r="N12" i="20"/>
  <c r="O12" i="20" s="1"/>
  <c r="N17" i="20"/>
  <c r="O17" i="20" s="1"/>
  <c r="J26" i="20"/>
  <c r="K26" i="20" s="1"/>
  <c r="G27" i="20"/>
  <c r="H27" i="20" s="1"/>
  <c r="J28" i="20"/>
  <c r="K28" i="20" s="1"/>
  <c r="I30" i="20"/>
  <c r="J31" i="20"/>
  <c r="K31" i="20" s="1"/>
  <c r="I33" i="20"/>
  <c r="F176" i="22" l="1"/>
  <c r="G175" i="22"/>
  <c r="O175" i="22" s="1"/>
  <c r="Q26" i="18"/>
  <c r="R26" i="18" s="1"/>
  <c r="N27" i="20"/>
  <c r="O27" i="20" s="1"/>
  <c r="K27" i="20"/>
  <c r="I93" i="26" l="1"/>
  <c r="O93" i="26" s="1"/>
  <c r="I92" i="26"/>
  <c r="O92" i="26" s="1"/>
  <c r="I88" i="23"/>
  <c r="O88" i="23" s="1"/>
  <c r="I89" i="23"/>
  <c r="O89" i="23" s="1"/>
  <c r="I86" i="22"/>
  <c r="O86" i="22" s="1"/>
  <c r="I87" i="22"/>
  <c r="O87" i="22" s="1"/>
  <c r="F177" i="22"/>
  <c r="G176" i="22"/>
  <c r="O176" i="22" s="1"/>
  <c r="F178" i="22" l="1"/>
  <c r="G177" i="22"/>
  <c r="O177" i="22" s="1"/>
  <c r="E40" i="18"/>
  <c r="E39" i="18"/>
  <c r="E38" i="18"/>
  <c r="E37" i="18"/>
  <c r="E35" i="18"/>
  <c r="D99" i="16"/>
  <c r="E63" i="18"/>
  <c r="G63" i="18" s="1"/>
  <c r="F179" i="22" l="1"/>
  <c r="G178" i="22"/>
  <c r="O178" i="22" s="1"/>
  <c r="K38" i="18"/>
  <c r="L38" i="18"/>
  <c r="L37" i="18"/>
  <c r="K37" i="18"/>
  <c r="L63" i="18"/>
  <c r="K63" i="18"/>
  <c r="L39" i="18"/>
  <c r="K39" i="18"/>
  <c r="L35" i="18"/>
  <c r="K35" i="18"/>
  <c r="K40" i="18"/>
  <c r="L40" i="18"/>
  <c r="G179" i="22" l="1"/>
  <c r="O179" i="22" s="1"/>
  <c r="F180" i="22"/>
  <c r="N35" i="18"/>
  <c r="P35" i="18"/>
  <c r="P38" i="18"/>
  <c r="N38" i="18"/>
  <c r="P63" i="18"/>
  <c r="N63" i="18"/>
  <c r="P40" i="18"/>
  <c r="N40" i="18"/>
  <c r="N39" i="18"/>
  <c r="P39" i="18"/>
  <c r="N37" i="18"/>
  <c r="P37" i="18"/>
  <c r="E25" i="18"/>
  <c r="E24" i="18"/>
  <c r="E23" i="18"/>
  <c r="E21" i="18"/>
  <c r="E20" i="18"/>
  <c r="E19" i="18"/>
  <c r="E15" i="18"/>
  <c r="E14" i="18"/>
  <c r="E13" i="18"/>
  <c r="E12" i="18"/>
  <c r="E11" i="18"/>
  <c r="E10" i="18"/>
  <c r="E9" i="18"/>
  <c r="E8" i="18"/>
  <c r="E7" i="18"/>
  <c r="E6" i="18"/>
  <c r="E5" i="18"/>
  <c r="E4" i="18"/>
  <c r="G4" i="18" s="1"/>
  <c r="L4" i="18" l="1"/>
  <c r="K4" i="18"/>
  <c r="Q38" i="18"/>
  <c r="R38" i="18" s="1"/>
  <c r="I18" i="26" s="1"/>
  <c r="O18" i="26" s="1"/>
  <c r="F181" i="22"/>
  <c r="G180" i="22"/>
  <c r="O180" i="22" s="1"/>
  <c r="Q63" i="18"/>
  <c r="R63" i="18" s="1"/>
  <c r="K23" i="18"/>
  <c r="L23" i="18"/>
  <c r="H4" i="18"/>
  <c r="M54" i="26" s="1"/>
  <c r="K8" i="18"/>
  <c r="L8" i="18"/>
  <c r="K12" i="18"/>
  <c r="L12" i="18"/>
  <c r="K19" i="18"/>
  <c r="L19" i="18"/>
  <c r="K24" i="18"/>
  <c r="L24" i="18"/>
  <c r="Q39" i="18"/>
  <c r="R39" i="18" s="1"/>
  <c r="Q35" i="18"/>
  <c r="R35" i="18" s="1"/>
  <c r="I61" i="26" s="1"/>
  <c r="O61" i="26" s="1"/>
  <c r="K7" i="18"/>
  <c r="L7" i="18"/>
  <c r="K11" i="18"/>
  <c r="L11" i="18"/>
  <c r="K15" i="18"/>
  <c r="L15" i="18"/>
  <c r="K5" i="18"/>
  <c r="L5" i="18"/>
  <c r="K9" i="18"/>
  <c r="L9" i="18"/>
  <c r="K25" i="18"/>
  <c r="L25" i="18"/>
  <c r="K13" i="18"/>
  <c r="L13" i="18"/>
  <c r="K20" i="18"/>
  <c r="L20" i="18"/>
  <c r="K6" i="18"/>
  <c r="L6" i="18"/>
  <c r="K10" i="18"/>
  <c r="L10" i="18"/>
  <c r="K14" i="18"/>
  <c r="L14" i="18"/>
  <c r="K21" i="18"/>
  <c r="L21" i="18"/>
  <c r="Q37" i="18"/>
  <c r="R37" i="18" s="1"/>
  <c r="Q40" i="18"/>
  <c r="R40" i="18" s="1"/>
  <c r="A95" i="19"/>
  <c r="A96" i="19" s="1"/>
  <c r="A97" i="19" s="1"/>
  <c r="A98" i="19" s="1"/>
  <c r="A99" i="19" s="1"/>
  <c r="A100" i="19" s="1"/>
  <c r="A101" i="19" s="1"/>
  <c r="A102" i="19" s="1"/>
  <c r="A103" i="19" s="1"/>
  <c r="A104" i="19" s="1"/>
  <c r="A105" i="19" s="1"/>
  <c r="A106" i="19" s="1"/>
  <c r="A107" i="19" s="1"/>
  <c r="A108" i="19" s="1"/>
  <c r="A109" i="19" s="1"/>
  <c r="A110" i="19" s="1"/>
  <c r="I93" i="23" l="1"/>
  <c r="O93" i="23" s="1"/>
  <c r="I97" i="26"/>
  <c r="O97" i="26" s="1"/>
  <c r="I17" i="23"/>
  <c r="O17" i="23" s="1"/>
  <c r="I17" i="26"/>
  <c r="O17" i="26" s="1"/>
  <c r="I19" i="23"/>
  <c r="O19" i="23" s="1"/>
  <c r="I19" i="26"/>
  <c r="O19" i="26" s="1"/>
  <c r="M52" i="23"/>
  <c r="E38" i="16"/>
  <c r="F74" i="15" s="1"/>
  <c r="H74" i="15" s="1"/>
  <c r="I59" i="23"/>
  <c r="O59" i="23" s="1"/>
  <c r="I18" i="22"/>
  <c r="O18" i="22" s="1"/>
  <c r="I18" i="23"/>
  <c r="O18" i="23" s="1"/>
  <c r="M52" i="22"/>
  <c r="I91" i="22"/>
  <c r="O91" i="22" s="1"/>
  <c r="I17" i="22"/>
  <c r="O17" i="22" s="1"/>
  <c r="I19" i="22"/>
  <c r="O19" i="22" s="1"/>
  <c r="F182" i="22"/>
  <c r="G181" i="22"/>
  <c r="O181" i="22" s="1"/>
  <c r="P21" i="18"/>
  <c r="N21" i="18"/>
  <c r="P10" i="18"/>
  <c r="N10" i="18"/>
  <c r="P20" i="18"/>
  <c r="N20" i="18"/>
  <c r="P25" i="18"/>
  <c r="N25" i="18"/>
  <c r="P5" i="18"/>
  <c r="N5" i="18"/>
  <c r="P11" i="18"/>
  <c r="N11" i="18"/>
  <c r="P19" i="18"/>
  <c r="N19" i="18"/>
  <c r="P8" i="18"/>
  <c r="N8" i="18"/>
  <c r="P23" i="18"/>
  <c r="N23" i="18"/>
  <c r="P14" i="18"/>
  <c r="N14" i="18"/>
  <c r="P6" i="18"/>
  <c r="N6" i="18"/>
  <c r="P13" i="18"/>
  <c r="N13" i="18"/>
  <c r="P9" i="18"/>
  <c r="N9" i="18"/>
  <c r="P15" i="18"/>
  <c r="N15" i="18"/>
  <c r="P7" i="18"/>
  <c r="N7" i="18"/>
  <c r="P24" i="18"/>
  <c r="N24" i="18"/>
  <c r="P12" i="18"/>
  <c r="N12" i="18"/>
  <c r="N4" i="18"/>
  <c r="P4" i="18"/>
  <c r="D52" i="16"/>
  <c r="E39" i="16" l="1"/>
  <c r="E40" i="16" s="1"/>
  <c r="Q24" i="18"/>
  <c r="R24" i="18" s="1"/>
  <c r="Q15" i="18"/>
  <c r="R15" i="18" s="1"/>
  <c r="Q13" i="18"/>
  <c r="R13" i="18" s="1"/>
  <c r="Q14" i="18"/>
  <c r="R14" i="18" s="1"/>
  <c r="Q8" i="18"/>
  <c r="R8" i="18" s="1"/>
  <c r="Q11" i="18"/>
  <c r="R11" i="18" s="1"/>
  <c r="Q10" i="18"/>
  <c r="R10" i="18" s="1"/>
  <c r="I85" i="22"/>
  <c r="O85" i="22" s="1"/>
  <c r="F183" i="22"/>
  <c r="G183" i="22" s="1"/>
  <c r="O183" i="22" s="1"/>
  <c r="G182" i="22"/>
  <c r="O182" i="22" s="1"/>
  <c r="Q12" i="18"/>
  <c r="R12" i="18" s="1"/>
  <c r="Q4" i="18"/>
  <c r="R4" i="18" s="1"/>
  <c r="Q25" i="18"/>
  <c r="R25" i="18" s="1"/>
  <c r="Q7" i="18"/>
  <c r="R7" i="18" s="1"/>
  <c r="Q9" i="18"/>
  <c r="R9" i="18" s="1"/>
  <c r="Q6" i="18"/>
  <c r="R6" i="18" s="1"/>
  <c r="Q23" i="18"/>
  <c r="R23" i="18" s="1"/>
  <c r="Q19" i="18"/>
  <c r="R19" i="18" s="1"/>
  <c r="Q5" i="18"/>
  <c r="R5" i="18" s="1"/>
  <c r="Q20" i="18"/>
  <c r="R20" i="18" s="1"/>
  <c r="Q21" i="18"/>
  <c r="R21" i="18" s="1"/>
  <c r="S108" i="13"/>
  <c r="S107" i="13"/>
  <c r="S101" i="13"/>
  <c r="S102" i="13"/>
  <c r="S103" i="13"/>
  <c r="S106" i="13"/>
  <c r="S105" i="13"/>
  <c r="S104" i="13"/>
  <c r="P104" i="13"/>
  <c r="P108" i="13"/>
  <c r="P102" i="13"/>
  <c r="P106" i="13"/>
  <c r="Q101" i="13"/>
  <c r="P101" i="13"/>
  <c r="Q108" i="13"/>
  <c r="Q102" i="13"/>
  <c r="P103" i="13"/>
  <c r="Q103" i="13"/>
  <c r="Q107" i="13"/>
  <c r="Q104" i="13"/>
  <c r="Q106" i="13"/>
  <c r="P105" i="13"/>
  <c r="Q105" i="13"/>
  <c r="P107" i="13"/>
  <c r="F94" i="19"/>
  <c r="G3" i="15" s="1"/>
  <c r="I71" i="26" l="1"/>
  <c r="O71" i="26" s="1"/>
  <c r="I72" i="26"/>
  <c r="I57" i="26"/>
  <c r="O57" i="26" s="1"/>
  <c r="I58" i="26"/>
  <c r="I60" i="26"/>
  <c r="O60" i="26" s="1"/>
  <c r="I59" i="26"/>
  <c r="O59" i="26" s="1"/>
  <c r="I28" i="26"/>
  <c r="O28" i="26" s="1"/>
  <c r="I29" i="26"/>
  <c r="I49" i="26"/>
  <c r="O49" i="26" s="1"/>
  <c r="I50" i="26"/>
  <c r="I41" i="26"/>
  <c r="O41" i="26" s="1"/>
  <c r="I42" i="26"/>
  <c r="I70" i="26"/>
  <c r="I69" i="26"/>
  <c r="O69" i="26" s="1"/>
  <c r="I85" i="26"/>
  <c r="I84" i="26"/>
  <c r="O84" i="26" s="1"/>
  <c r="I87" i="26"/>
  <c r="O87" i="26" s="1"/>
  <c r="I86" i="26"/>
  <c r="O86" i="26" s="1"/>
  <c r="I106" i="26"/>
  <c r="O106" i="26" s="1"/>
  <c r="I109" i="26"/>
  <c r="O109" i="26" s="1"/>
  <c r="I108" i="26"/>
  <c r="O108" i="26" s="1"/>
  <c r="I107" i="26"/>
  <c r="I45" i="26"/>
  <c r="O45" i="26" s="1"/>
  <c r="I46" i="26"/>
  <c r="I119" i="26"/>
  <c r="I118" i="26"/>
  <c r="O118" i="26" s="1"/>
  <c r="I121" i="26"/>
  <c r="O121" i="26" s="1"/>
  <c r="I120" i="26"/>
  <c r="O120" i="26" s="1"/>
  <c r="I111" i="26"/>
  <c r="I110" i="26"/>
  <c r="O110" i="26" s="1"/>
  <c r="I112" i="26"/>
  <c r="O112" i="26" s="1"/>
  <c r="I113" i="26"/>
  <c r="O113" i="26" s="1"/>
  <c r="I37" i="26"/>
  <c r="O37" i="26" s="1"/>
  <c r="I40" i="26"/>
  <c r="O40" i="26" s="1"/>
  <c r="I38" i="26"/>
  <c r="I39" i="26"/>
  <c r="O39" i="26" s="1"/>
  <c r="I88" i="26"/>
  <c r="O88" i="26" s="1"/>
  <c r="I89" i="26"/>
  <c r="I90" i="26"/>
  <c r="O90" i="26" s="1"/>
  <c r="I91" i="26"/>
  <c r="O91" i="26" s="1"/>
  <c r="I27" i="26"/>
  <c r="I26" i="26"/>
  <c r="O26" i="26" s="1"/>
  <c r="I22" i="26"/>
  <c r="O22" i="26" s="1"/>
  <c r="I23" i="26"/>
  <c r="I102" i="26"/>
  <c r="O102" i="26" s="1"/>
  <c r="I104" i="26"/>
  <c r="I103" i="26"/>
  <c r="I116" i="26"/>
  <c r="O116" i="26" s="1"/>
  <c r="I115" i="26"/>
  <c r="I114" i="26"/>
  <c r="O114" i="26" s="1"/>
  <c r="I117" i="26"/>
  <c r="O117" i="26" s="1"/>
  <c r="I54" i="26"/>
  <c r="O54" i="26" s="1"/>
  <c r="I53" i="26"/>
  <c r="O53" i="26" s="1"/>
  <c r="I55" i="26"/>
  <c r="O55" i="26" s="1"/>
  <c r="I56" i="26"/>
  <c r="O56" i="26" s="1"/>
  <c r="G23" i="15"/>
  <c r="H23" i="15" s="1"/>
  <c r="G36" i="15"/>
  <c r="H36" i="15" s="1"/>
  <c r="I39" i="22"/>
  <c r="O39" i="22" s="1"/>
  <c r="I40" i="23"/>
  <c r="I39" i="23"/>
  <c r="O39" i="23" s="1"/>
  <c r="I23" i="23"/>
  <c r="I22" i="23"/>
  <c r="O22" i="23" s="1"/>
  <c r="I43" i="22"/>
  <c r="O43" i="22" s="1"/>
  <c r="I44" i="23"/>
  <c r="I43" i="23"/>
  <c r="O43" i="23" s="1"/>
  <c r="I29" i="23"/>
  <c r="I28" i="23"/>
  <c r="O28" i="23" s="1"/>
  <c r="I26" i="23"/>
  <c r="O26" i="23" s="1"/>
  <c r="I27" i="23"/>
  <c r="I48" i="22"/>
  <c r="I47" i="23"/>
  <c r="O47" i="23" s="1"/>
  <c r="I48" i="23"/>
  <c r="I99" i="23"/>
  <c r="I100" i="23"/>
  <c r="I98" i="23"/>
  <c r="O98" i="23" s="1"/>
  <c r="I114" i="22"/>
  <c r="O114" i="22" s="1"/>
  <c r="I115" i="23"/>
  <c r="I114" i="23"/>
  <c r="O114" i="23" s="1"/>
  <c r="I116" i="23"/>
  <c r="O116" i="23" s="1"/>
  <c r="I117" i="23"/>
  <c r="O117" i="23" s="1"/>
  <c r="I111" i="23"/>
  <c r="I113" i="23"/>
  <c r="O113" i="23" s="1"/>
  <c r="I112" i="23"/>
  <c r="O112" i="23" s="1"/>
  <c r="I110" i="23"/>
  <c r="O110" i="23" s="1"/>
  <c r="I105" i="22"/>
  <c r="I107" i="23"/>
  <c r="I106" i="23"/>
  <c r="O106" i="23" s="1"/>
  <c r="I109" i="23"/>
  <c r="O109" i="23" s="1"/>
  <c r="I108" i="23"/>
  <c r="O108" i="23" s="1"/>
  <c r="I103" i="23"/>
  <c r="I105" i="23"/>
  <c r="O105" i="23" s="1"/>
  <c r="I102" i="23"/>
  <c r="O102" i="23" s="1"/>
  <c r="I104" i="23"/>
  <c r="O104" i="23" s="1"/>
  <c r="I84" i="22"/>
  <c r="O84" i="22" s="1"/>
  <c r="I86" i="23"/>
  <c r="O86" i="23" s="1"/>
  <c r="I85" i="23"/>
  <c r="I84" i="23"/>
  <c r="O84" i="23" s="1"/>
  <c r="I87" i="23"/>
  <c r="O87" i="23" s="1"/>
  <c r="I80" i="23"/>
  <c r="O80" i="23" s="1"/>
  <c r="I81" i="23"/>
  <c r="I82" i="23"/>
  <c r="O82" i="23" s="1"/>
  <c r="I83" i="23"/>
  <c r="O83" i="23" s="1"/>
  <c r="I68" i="23"/>
  <c r="I67" i="23"/>
  <c r="O67" i="23" s="1"/>
  <c r="I64" i="22"/>
  <c r="I65" i="23"/>
  <c r="O65" i="23" s="1"/>
  <c r="I66" i="23"/>
  <c r="I57" i="23"/>
  <c r="O57" i="23" s="1"/>
  <c r="I56" i="23"/>
  <c r="I55" i="23"/>
  <c r="O55" i="23" s="1"/>
  <c r="I58" i="23"/>
  <c r="O58" i="23" s="1"/>
  <c r="I51" i="23"/>
  <c r="O51" i="23" s="1"/>
  <c r="I52" i="23"/>
  <c r="O52" i="23" s="1"/>
  <c r="I53" i="23"/>
  <c r="O53" i="23" s="1"/>
  <c r="I54" i="23"/>
  <c r="O54" i="23" s="1"/>
  <c r="I37" i="23"/>
  <c r="O37" i="23" s="1"/>
  <c r="I38" i="23"/>
  <c r="I63" i="22"/>
  <c r="O63" i="22" s="1"/>
  <c r="I44" i="22"/>
  <c r="I104" i="22"/>
  <c r="O104" i="22" s="1"/>
  <c r="I82" i="22"/>
  <c r="O82" i="22" s="1"/>
  <c r="I106" i="22"/>
  <c r="O106" i="22" s="1"/>
  <c r="I83" i="22"/>
  <c r="I107" i="22"/>
  <c r="O107" i="22" s="1"/>
  <c r="I47" i="22"/>
  <c r="O47" i="22" s="1"/>
  <c r="I113" i="22"/>
  <c r="I115" i="22"/>
  <c r="O115" i="22" s="1"/>
  <c r="I112" i="22"/>
  <c r="O112" i="22" s="1"/>
  <c r="I40" i="22"/>
  <c r="I29" i="22"/>
  <c r="I28" i="22"/>
  <c r="O28" i="22" s="1"/>
  <c r="I65" i="22"/>
  <c r="O65" i="22" s="1"/>
  <c r="I66" i="22"/>
  <c r="I22" i="22"/>
  <c r="O22" i="22" s="1"/>
  <c r="I23" i="22"/>
  <c r="I27" i="22"/>
  <c r="I26" i="22"/>
  <c r="O26" i="22" s="1"/>
  <c r="I38" i="22"/>
  <c r="I37" i="22"/>
  <c r="O37" i="22" s="1"/>
  <c r="I97" i="22"/>
  <c r="I96" i="22"/>
  <c r="O96" i="22" s="1"/>
  <c r="I98" i="22"/>
  <c r="I109" i="22"/>
  <c r="I110" i="22"/>
  <c r="O110" i="22" s="1"/>
  <c r="I111" i="22"/>
  <c r="O111" i="22" s="1"/>
  <c r="I108" i="22"/>
  <c r="O108" i="22" s="1"/>
  <c r="I102" i="22"/>
  <c r="O102" i="22" s="1"/>
  <c r="I101" i="22"/>
  <c r="I103" i="22"/>
  <c r="O103" i="22" s="1"/>
  <c r="I100" i="22"/>
  <c r="O100" i="22" s="1"/>
  <c r="I78" i="22"/>
  <c r="O78" i="22" s="1"/>
  <c r="I79" i="22"/>
  <c r="I80" i="22"/>
  <c r="O80" i="22" s="1"/>
  <c r="I81" i="22"/>
  <c r="O81" i="22" s="1"/>
  <c r="I52" i="22"/>
  <c r="O52" i="22" s="1"/>
  <c r="I51" i="22"/>
  <c r="O51" i="22" s="1"/>
  <c r="I53" i="22"/>
  <c r="O53" i="22" s="1"/>
  <c r="I54" i="22"/>
  <c r="O54" i="22" s="1"/>
  <c r="I55" i="22"/>
  <c r="O55" i="22" s="1"/>
  <c r="I56" i="22"/>
  <c r="I57" i="22"/>
  <c r="O57" i="22" s="1"/>
  <c r="I58" i="22"/>
  <c r="O58" i="22" s="1"/>
  <c r="E61" i="18"/>
  <c r="I105" i="26" l="1"/>
  <c r="O105" i="26" s="1"/>
  <c r="O104" i="26"/>
  <c r="I101" i="23"/>
  <c r="O101" i="23" s="1"/>
  <c r="O100" i="23"/>
  <c r="I99" i="22"/>
  <c r="O99" i="22" s="1"/>
  <c r="O98" i="22"/>
  <c r="G61" i="18"/>
  <c r="H61" i="18" s="1"/>
  <c r="E52" i="16" s="1"/>
  <c r="K61" i="18"/>
  <c r="L61" i="18"/>
  <c r="C14" i="18"/>
  <c r="C20" i="18"/>
  <c r="C21" i="18" l="1"/>
  <c r="T20" i="18"/>
  <c r="C15" i="18"/>
  <c r="T14" i="18"/>
  <c r="N61" i="18"/>
  <c r="P61" i="18"/>
  <c r="P24" i="13"/>
  <c r="P28" i="13"/>
  <c r="P51" i="13"/>
  <c r="P45" i="13"/>
  <c r="P38" i="13"/>
  <c r="Q51" i="13"/>
  <c r="P13" i="13"/>
  <c r="Q13" i="13"/>
  <c r="P10" i="13"/>
  <c r="Q10" i="13"/>
  <c r="Q30" i="13"/>
  <c r="P30" i="13"/>
  <c r="P14" i="13"/>
  <c r="P8" i="13"/>
  <c r="P29" i="13"/>
  <c r="Q28" i="13"/>
  <c r="Q38" i="13"/>
  <c r="Q18" i="13"/>
  <c r="P18" i="13"/>
  <c r="P19" i="13"/>
  <c r="Q19" i="13"/>
  <c r="Q24" i="13"/>
  <c r="Q26" i="13"/>
  <c r="P26" i="13"/>
  <c r="Q31" i="13"/>
  <c r="P35" i="13"/>
  <c r="Q21" i="13"/>
  <c r="Q20" i="13"/>
  <c r="Q44" i="13"/>
  <c r="Q16" i="13"/>
  <c r="Q14" i="13"/>
  <c r="Q17" i="13"/>
  <c r="P17" i="13"/>
  <c r="Q12" i="13"/>
  <c r="Q11" i="13"/>
  <c r="Q34" i="13"/>
  <c r="Q7" i="13"/>
  <c r="Q39" i="13"/>
  <c r="P31" i="13"/>
  <c r="P12" i="13"/>
  <c r="P34" i="13"/>
  <c r="P20" i="13"/>
  <c r="P44" i="13"/>
  <c r="P16" i="13"/>
  <c r="P21" i="13"/>
  <c r="P7" i="13"/>
  <c r="P39" i="13"/>
  <c r="P22" i="13"/>
  <c r="Q29" i="13"/>
  <c r="Q35" i="13"/>
  <c r="C16" i="18" l="1"/>
  <c r="T15" i="18"/>
  <c r="C22" i="18"/>
  <c r="T21" i="18"/>
  <c r="Q61" i="18"/>
  <c r="R61" i="18" s="1"/>
  <c r="P46" i="13"/>
  <c r="Q45" i="13"/>
  <c r="Q46" i="13"/>
  <c r="Q6" i="13"/>
  <c r="P6" i="13"/>
  <c r="P23" i="13"/>
  <c r="Q22" i="13"/>
  <c r="Q23" i="13"/>
  <c r="P36" i="13"/>
  <c r="Q36" i="13"/>
  <c r="P33" i="13"/>
  <c r="Q33" i="13"/>
  <c r="Q41" i="13"/>
  <c r="P41" i="13"/>
  <c r="Q9" i="13"/>
  <c r="Q8" i="13"/>
  <c r="Q40" i="13"/>
  <c r="Q32" i="13"/>
  <c r="P40" i="13"/>
  <c r="P32" i="13"/>
  <c r="P9" i="13"/>
  <c r="M10" i="14"/>
  <c r="O10" i="14" l="1"/>
  <c r="O31" i="14"/>
  <c r="O37" i="14"/>
  <c r="H22" i="18"/>
  <c r="M25" i="26" s="1"/>
  <c r="O25" i="26" s="1"/>
  <c r="T22" i="18"/>
  <c r="T16" i="18"/>
  <c r="C17" i="18"/>
  <c r="H16" i="18"/>
  <c r="M44" i="26" s="1"/>
  <c r="O44" i="26" s="1"/>
  <c r="G15" i="18"/>
  <c r="H15" i="18" s="1"/>
  <c r="M46" i="26" s="1"/>
  <c r="O46" i="26" s="1"/>
  <c r="G21" i="18"/>
  <c r="H21" i="18" s="1"/>
  <c r="M27" i="26" s="1"/>
  <c r="O27" i="26" s="1"/>
  <c r="M27" i="23" l="1"/>
  <c r="O27" i="23" s="1"/>
  <c r="E21" i="16"/>
  <c r="F9" i="15" s="1"/>
  <c r="H9" i="15" s="1"/>
  <c r="M44" i="23"/>
  <c r="M46" i="23" s="1"/>
  <c r="O46" i="23" s="1"/>
  <c r="E35" i="16"/>
  <c r="F15" i="15" s="1"/>
  <c r="H15" i="15" s="1"/>
  <c r="E36" i="16"/>
  <c r="F18" i="15" s="1"/>
  <c r="H18" i="15" s="1"/>
  <c r="E22" i="16"/>
  <c r="F16" i="15" s="1"/>
  <c r="H16" i="15" s="1"/>
  <c r="H17" i="18"/>
  <c r="M48" i="26" s="1"/>
  <c r="O48" i="26" s="1"/>
  <c r="T17" i="18"/>
  <c r="M42" i="23"/>
  <c r="O42" i="23" s="1"/>
  <c r="M42" i="22"/>
  <c r="O42" i="22" s="1"/>
  <c r="J16" i="18"/>
  <c r="M25" i="22"/>
  <c r="O25" i="22" s="1"/>
  <c r="J22" i="18"/>
  <c r="M25" i="23"/>
  <c r="O25" i="23" s="1"/>
  <c r="J15" i="18"/>
  <c r="M44" i="22"/>
  <c r="J21" i="18"/>
  <c r="M27" i="22"/>
  <c r="O27" i="22" s="1"/>
  <c r="O44" i="23" l="1"/>
  <c r="J17" i="18"/>
  <c r="E37" i="16"/>
  <c r="F5" i="15" s="1"/>
  <c r="H5" i="15" s="1"/>
  <c r="M46" i="22"/>
  <c r="O46" i="22" s="1"/>
  <c r="O44" i="22"/>
  <c r="G50" i="16"/>
  <c r="K50" i="16" l="1"/>
  <c r="M19" i="14"/>
  <c r="G12" i="18"/>
  <c r="H12" i="18" s="1"/>
  <c r="M72" i="26" s="1"/>
  <c r="O72" i="26" s="1"/>
  <c r="O19" i="14" l="1"/>
  <c r="O15" i="14"/>
  <c r="O8" i="14"/>
  <c r="M68" i="23"/>
  <c r="O68" i="23" s="1"/>
  <c r="E50" i="16"/>
  <c r="F40" i="15" s="1"/>
  <c r="H40" i="15" s="1"/>
  <c r="J12" i="18"/>
  <c r="M66" i="22"/>
  <c r="O66" i="22" s="1"/>
  <c r="M41" i="14" l="1"/>
  <c r="M47" i="14"/>
  <c r="O24" i="14" l="1"/>
  <c r="M38" i="14"/>
  <c r="M55" i="14"/>
  <c r="M23" i="14"/>
  <c r="M54" i="14"/>
  <c r="M18" i="14"/>
  <c r="M9" i="14"/>
  <c r="M28" i="14"/>
  <c r="M53" i="14"/>
  <c r="M22" i="14"/>
  <c r="M33" i="14"/>
  <c r="O38" i="14" l="1"/>
  <c r="O50" i="14"/>
  <c r="O22" i="14"/>
  <c r="O26" i="14"/>
  <c r="O23" i="14"/>
  <c r="O49" i="14"/>
  <c r="O28" i="14"/>
  <c r="O33" i="14"/>
  <c r="O9" i="14"/>
  <c r="O55" i="14"/>
  <c r="O57" i="14"/>
  <c r="O41" i="14"/>
  <c r="O34" i="14"/>
  <c r="O14" i="14"/>
  <c r="O35" i="14"/>
  <c r="O11" i="14"/>
  <c r="O17" i="14"/>
  <c r="O25" i="14"/>
  <c r="O48" i="14"/>
  <c r="O54" i="14"/>
  <c r="O18" i="14"/>
  <c r="O56" i="14"/>
  <c r="O32" i="14"/>
  <c r="O47" i="14"/>
  <c r="O45" i="14"/>
  <c r="C160" i="19"/>
  <c r="C163" i="19"/>
  <c r="C162" i="19"/>
  <c r="C159" i="19"/>
  <c r="C152" i="19"/>
  <c r="C154" i="19"/>
  <c r="C156" i="19"/>
  <c r="C155" i="19"/>
  <c r="C158" i="19"/>
  <c r="C147" i="19"/>
  <c r="C144" i="19"/>
  <c r="C146" i="19"/>
  <c r="C151" i="19"/>
  <c r="C141" i="19"/>
  <c r="C119" i="19"/>
  <c r="C145" i="19"/>
  <c r="C142" i="19"/>
  <c r="M27" i="14"/>
  <c r="O27" i="14" l="1"/>
  <c r="O12" i="14"/>
  <c r="O53" i="14"/>
  <c r="C124" i="19"/>
  <c r="C161" i="19"/>
  <c r="C165" i="19"/>
  <c r="C164" i="19"/>
  <c r="C126" i="19"/>
  <c r="C157" i="19"/>
  <c r="C135" i="19"/>
  <c r="C131" i="19"/>
  <c r="C132" i="19"/>
  <c r="C129" i="19"/>
  <c r="C153" i="19"/>
  <c r="C140" i="19"/>
  <c r="C118" i="19"/>
  <c r="C133" i="19"/>
  <c r="C120" i="19"/>
  <c r="C121" i="19"/>
  <c r="C130" i="19"/>
  <c r="C127" i="19"/>
  <c r="C138" i="19"/>
  <c r="C123" i="19"/>
  <c r="C134" i="19"/>
  <c r="C116" i="19"/>
  <c r="C122" i="19"/>
  <c r="C136" i="19"/>
  <c r="C143" i="19"/>
  <c r="C128" i="19"/>
  <c r="C125" i="19"/>
  <c r="C139" i="19"/>
  <c r="C117" i="19"/>
  <c r="C150" i="19"/>
  <c r="C115" i="19"/>
  <c r="C149" i="19"/>
  <c r="C137" i="19"/>
  <c r="C148" i="19"/>
  <c r="O6" i="14"/>
  <c r="C114" i="19"/>
  <c r="J42" i="16"/>
  <c r="I42" i="16"/>
  <c r="H42" i="16"/>
  <c r="J39" i="16"/>
  <c r="I39" i="16"/>
  <c r="H39" i="16"/>
  <c r="F39" i="16"/>
  <c r="J64" i="16"/>
  <c r="I64" i="16"/>
  <c r="H64" i="16"/>
  <c r="F64" i="16"/>
  <c r="J67" i="16"/>
  <c r="I67" i="16"/>
  <c r="H67" i="16"/>
  <c r="F67" i="16"/>
  <c r="J93" i="16"/>
  <c r="I93" i="16"/>
  <c r="H93" i="16"/>
  <c r="F93" i="16"/>
  <c r="J60" i="16"/>
  <c r="I60" i="16"/>
  <c r="H60" i="16"/>
  <c r="F60" i="16"/>
  <c r="C60" i="16"/>
  <c r="S106" i="18" l="1"/>
  <c r="S37" i="18"/>
  <c r="S33" i="18"/>
  <c r="S65" i="18"/>
  <c r="S87" i="18"/>
  <c r="S43" i="18"/>
  <c r="S57" i="18"/>
  <c r="S61" i="18"/>
  <c r="S39" i="18"/>
  <c r="S92" i="18"/>
  <c r="S58" i="18"/>
  <c r="S40" i="18"/>
  <c r="S107" i="18"/>
  <c r="S64" i="18"/>
  <c r="S94" i="13"/>
  <c r="S81" i="13"/>
  <c r="S75" i="13"/>
  <c r="S76" i="13"/>
  <c r="S72" i="13"/>
  <c r="S90" i="13"/>
  <c r="S79" i="13"/>
  <c r="S93" i="13"/>
  <c r="S71" i="13"/>
  <c r="S70" i="13"/>
  <c r="S84" i="13"/>
  <c r="S87" i="13"/>
  <c r="S80" i="13"/>
  <c r="S86" i="13"/>
  <c r="S85" i="13"/>
  <c r="S89" i="13"/>
  <c r="S88" i="13"/>
  <c r="S74" i="13"/>
  <c r="S73" i="13"/>
  <c r="S78" i="13"/>
  <c r="S77" i="13"/>
  <c r="S69" i="13"/>
  <c r="S68" i="13"/>
  <c r="S83" i="13"/>
  <c r="S82" i="13"/>
  <c r="S92" i="13"/>
  <c r="S91" i="13"/>
  <c r="R68" i="13"/>
  <c r="R69" i="13"/>
  <c r="R72" i="13"/>
  <c r="R70" i="13"/>
  <c r="R71" i="13"/>
  <c r="P71" i="13"/>
  <c r="R75" i="13"/>
  <c r="R81" i="13"/>
  <c r="R90" i="13"/>
  <c r="R84" i="13"/>
  <c r="R78" i="13"/>
  <c r="R92" i="13"/>
  <c r="R91" i="13"/>
  <c r="R77" i="13"/>
  <c r="R76" i="13"/>
  <c r="R80" i="13"/>
  <c r="R79" i="13"/>
  <c r="R94" i="13"/>
  <c r="R93" i="13"/>
  <c r="R88" i="13"/>
  <c r="R87" i="13"/>
  <c r="R83" i="13"/>
  <c r="R82" i="13"/>
  <c r="R86" i="13"/>
  <c r="R85" i="13"/>
  <c r="R89" i="13"/>
  <c r="R74" i="13"/>
  <c r="R73" i="13"/>
  <c r="P94" i="13"/>
  <c r="Q94" i="13"/>
  <c r="Q70" i="13"/>
  <c r="P83" i="13"/>
  <c r="P77" i="13"/>
  <c r="P90" i="13"/>
  <c r="P73" i="13"/>
  <c r="P72" i="13"/>
  <c r="Q72" i="13"/>
  <c r="Q71" i="13"/>
  <c r="P70" i="13"/>
  <c r="Q68" i="13"/>
  <c r="P68" i="13"/>
  <c r="P75" i="13"/>
  <c r="P88" i="13"/>
  <c r="P69" i="13"/>
  <c r="Q69" i="13"/>
  <c r="P78" i="13"/>
  <c r="Q77" i="13"/>
  <c r="P74" i="13"/>
  <c r="Q73" i="13"/>
  <c r="Q74" i="13"/>
  <c r="Q87" i="13"/>
  <c r="P87" i="13"/>
  <c r="P84" i="13"/>
  <c r="Q84" i="13"/>
  <c r="Q83" i="13"/>
  <c r="P92" i="13"/>
  <c r="Q92" i="13"/>
  <c r="P79" i="13"/>
  <c r="Q79" i="13"/>
  <c r="Q78" i="13"/>
  <c r="P85" i="13"/>
  <c r="Q85" i="13"/>
  <c r="P86" i="13"/>
  <c r="Q86" i="13"/>
  <c r="P82" i="13"/>
  <c r="Q82" i="13"/>
  <c r="P91" i="13"/>
  <c r="Q91" i="13"/>
  <c r="Q90" i="13"/>
  <c r="P81" i="13"/>
  <c r="Q81" i="13"/>
  <c r="P93" i="13"/>
  <c r="Q93" i="13"/>
  <c r="P89" i="13"/>
  <c r="Q89" i="13"/>
  <c r="Q88" i="13"/>
  <c r="P76" i="13"/>
  <c r="Q76" i="13"/>
  <c r="Q75" i="13"/>
  <c r="P80" i="13"/>
  <c r="Q80" i="13"/>
  <c r="F64" i="19"/>
  <c r="G26" i="16" l="1"/>
  <c r="K26" i="16" l="1"/>
  <c r="G64" i="16"/>
  <c r="D26" i="16"/>
  <c r="E62" i="18"/>
  <c r="D44" i="15" l="1"/>
  <c r="D29" i="19"/>
  <c r="G62" i="18"/>
  <c r="H62" i="18" s="1"/>
  <c r="E26" i="16" s="1"/>
  <c r="F44" i="15" s="1"/>
  <c r="H44" i="15" s="1"/>
  <c r="K62" i="18"/>
  <c r="L62" i="18"/>
  <c r="K64" i="16"/>
  <c r="P62" i="18" l="1"/>
  <c r="N62" i="18"/>
  <c r="E32" i="18"/>
  <c r="Q62" i="18" l="1"/>
  <c r="R62" i="18" s="1"/>
  <c r="I33" i="22"/>
  <c r="O33" i="22" s="1"/>
  <c r="G32" i="18"/>
  <c r="L32" i="18"/>
  <c r="K32" i="18"/>
  <c r="N32" i="18" l="1"/>
  <c r="P32" i="18"/>
  <c r="Q32" i="18" l="1"/>
  <c r="R32" i="18" s="1"/>
  <c r="G92" i="16"/>
  <c r="K92" i="16" s="1"/>
  <c r="I15" i="23" l="1"/>
  <c r="O15" i="23" s="1"/>
  <c r="I15" i="26"/>
  <c r="O15" i="26" s="1"/>
  <c r="I15" i="22"/>
  <c r="O15" i="22" s="1"/>
  <c r="G10" i="18"/>
  <c r="H10" i="18" l="1"/>
  <c r="M119" i="26" s="1"/>
  <c r="O119" i="26" s="1"/>
  <c r="M115" i="23" l="1"/>
  <c r="O115" i="23" s="1"/>
  <c r="E92" i="16"/>
  <c r="F49" i="15" s="1"/>
  <c r="H49" i="15" s="1"/>
  <c r="S32" i="18"/>
  <c r="M113" i="22"/>
  <c r="O113" i="22" s="1"/>
  <c r="J10" i="18"/>
  <c r="E93" i="16" l="1"/>
  <c r="E94" i="16" s="1"/>
  <c r="G38" i="18" l="1"/>
  <c r="G20" i="18"/>
  <c r="G19" i="18"/>
  <c r="G14" i="18"/>
  <c r="G13" i="18"/>
  <c r="G51" i="16"/>
  <c r="G8" i="16"/>
  <c r="G11" i="16"/>
  <c r="G29" i="16"/>
  <c r="G27" i="16"/>
  <c r="G9" i="16"/>
  <c r="G41" i="16"/>
  <c r="G38" i="16"/>
  <c r="G58" i="16"/>
  <c r="G4" i="16"/>
  <c r="G66" i="16"/>
  <c r="G63" i="16"/>
  <c r="G86" i="16"/>
  <c r="G89" i="16"/>
  <c r="G93" i="16" s="1"/>
  <c r="G83" i="16"/>
  <c r="K83" i="16" s="1"/>
  <c r="G80" i="16"/>
  <c r="G57" i="16"/>
  <c r="G15" i="16"/>
  <c r="G30" i="16"/>
  <c r="G16" i="16"/>
  <c r="G48" i="16"/>
  <c r="G14" i="16"/>
  <c r="G73" i="16"/>
  <c r="G59" i="16"/>
  <c r="G70" i="16"/>
  <c r="K70" i="16" s="1"/>
  <c r="G28" i="16"/>
  <c r="G72" i="16"/>
  <c r="G62" i="16"/>
  <c r="G19" i="16"/>
  <c r="G49" i="16"/>
  <c r="G33" i="16"/>
  <c r="G12" i="16"/>
  <c r="G79" i="16"/>
  <c r="K79" i="16" s="1"/>
  <c r="G42" i="16" l="1"/>
  <c r="G39" i="16"/>
  <c r="K48" i="16"/>
  <c r="G67" i="16"/>
  <c r="G60" i="16"/>
  <c r="K41" i="16"/>
  <c r="K66" i="16"/>
  <c r="K19" i="16"/>
  <c r="K51" i="16"/>
  <c r="K8" i="16"/>
  <c r="K27" i="16"/>
  <c r="K38" i="16"/>
  <c r="K63" i="16"/>
  <c r="K45" i="16"/>
  <c r="K15" i="16"/>
  <c r="K14" i="16"/>
  <c r="K28" i="16"/>
  <c r="K49" i="16"/>
  <c r="K11" i="16"/>
  <c r="K58" i="16"/>
  <c r="K86" i="16"/>
  <c r="K80" i="16"/>
  <c r="K30" i="16"/>
  <c r="K73" i="16"/>
  <c r="K72" i="16"/>
  <c r="K33" i="16"/>
  <c r="K29" i="16"/>
  <c r="K9" i="16"/>
  <c r="K4" i="16"/>
  <c r="K89" i="16"/>
  <c r="K93" i="16" s="1"/>
  <c r="K57" i="16"/>
  <c r="K16" i="16"/>
  <c r="K59" i="16"/>
  <c r="K62" i="16"/>
  <c r="K12" i="16"/>
  <c r="H10" i="16"/>
  <c r="G10" i="16" s="1"/>
  <c r="H23" i="16"/>
  <c r="G23" i="16" s="1"/>
  <c r="H55" i="16"/>
  <c r="G55" i="16" s="1"/>
  <c r="H7" i="16"/>
  <c r="G7" i="16" s="1"/>
  <c r="H69" i="16"/>
  <c r="H24" i="16"/>
  <c r="G24" i="16" s="1"/>
  <c r="G69" i="16" l="1"/>
  <c r="K67" i="16"/>
  <c r="K42" i="16"/>
  <c r="K39" i="16"/>
  <c r="K60" i="16"/>
  <c r="K10" i="16"/>
  <c r="K7" i="16"/>
  <c r="K55" i="16"/>
  <c r="K24" i="16"/>
  <c r="K23" i="16"/>
  <c r="A115" i="19"/>
  <c r="A116" i="19" s="1"/>
  <c r="A117" i="19" s="1"/>
  <c r="A118" i="19" s="1"/>
  <c r="A119" i="19" s="1"/>
  <c r="A120" i="19" s="1"/>
  <c r="A121" i="19" s="1"/>
  <c r="A122" i="19" s="1"/>
  <c r="A123" i="19" s="1"/>
  <c r="A124" i="19" s="1"/>
  <c r="A125" i="19" s="1"/>
  <c r="A126" i="19" s="1"/>
  <c r="A127" i="19" s="1"/>
  <c r="A128" i="19" s="1"/>
  <c r="A129" i="19" s="1"/>
  <c r="A130" i="19" s="1"/>
  <c r="A131" i="19" s="1"/>
  <c r="A133" i="19" s="1"/>
  <c r="A136" i="19" s="1"/>
  <c r="A137" i="19" s="1"/>
  <c r="A138" i="19" s="1"/>
  <c r="A141" i="19" s="1"/>
  <c r="A143" i="19" s="1"/>
  <c r="A144" i="19" s="1"/>
  <c r="A145" i="19" s="1"/>
  <c r="A146" i="19" s="1"/>
  <c r="A147" i="19" s="1"/>
  <c r="A148" i="19" s="1"/>
  <c r="A149" i="19" s="1"/>
  <c r="A150" i="19" s="1"/>
  <c r="A151" i="19" s="1"/>
  <c r="A152" i="19" s="1"/>
  <c r="A153" i="19" s="1"/>
  <c r="A154" i="19" s="1"/>
  <c r="A155" i="19" s="1"/>
  <c r="A156" i="19" s="1"/>
  <c r="A157" i="19" s="1"/>
  <c r="A158" i="19" s="1"/>
  <c r="A159" i="19" s="1"/>
  <c r="A160" i="19" s="1"/>
  <c r="A161" i="19" s="1"/>
  <c r="A162" i="19" s="1"/>
  <c r="A163" i="19" s="1"/>
  <c r="A164" i="19" s="1"/>
  <c r="A165" i="19" s="1"/>
  <c r="A3" i="19"/>
  <c r="K69" i="16" l="1"/>
  <c r="A65" i="19"/>
  <c r="A66" i="19" s="1"/>
  <c r="A67" i="19" s="1"/>
  <c r="A68" i="19" s="1"/>
  <c r="A69" i="19" s="1"/>
  <c r="A70" i="19" s="1"/>
  <c r="A71" i="19" s="1"/>
  <c r="A72" i="19" s="1"/>
  <c r="A73" i="19" s="1"/>
  <c r="A74" i="19" s="1"/>
  <c r="A75" i="19" s="1"/>
  <c r="A76" i="19" s="1"/>
  <c r="A77" i="19" s="1"/>
  <c r="A78" i="19" s="1"/>
  <c r="A79" i="19" s="1"/>
  <c r="A80" i="19" s="1"/>
  <c r="A81" i="19" s="1"/>
  <c r="A82" i="19" s="1"/>
  <c r="A83" i="19" s="1"/>
  <c r="A84" i="19" s="1"/>
  <c r="A85" i="19" s="1"/>
  <c r="A86" i="19" s="1"/>
  <c r="A87" i="19" s="1"/>
  <c r="A88" i="19" s="1"/>
  <c r="A89" i="19" s="1"/>
  <c r="A90" i="19" s="1"/>
  <c r="L60" i="18" l="1"/>
  <c r="K60" i="18"/>
  <c r="G60" i="18"/>
  <c r="H60" i="18" s="1"/>
  <c r="E51" i="16" s="1"/>
  <c r="F38" i="15" s="1"/>
  <c r="H38" i="15" s="1"/>
  <c r="P60" i="18" l="1"/>
  <c r="N60" i="18"/>
  <c r="H20" i="18"/>
  <c r="M29" i="26" s="1"/>
  <c r="O29" i="26" s="1"/>
  <c r="H14" i="18"/>
  <c r="M50" i="26" s="1"/>
  <c r="O50" i="26" s="1"/>
  <c r="E59" i="18"/>
  <c r="C59" i="18"/>
  <c r="T59" i="18" s="1"/>
  <c r="E58" i="18"/>
  <c r="E57" i="18"/>
  <c r="E56" i="18"/>
  <c r="E55" i="18"/>
  <c r="E54" i="18"/>
  <c r="E53" i="18"/>
  <c r="E52" i="18"/>
  <c r="E51" i="18"/>
  <c r="E50" i="18"/>
  <c r="E49" i="18"/>
  <c r="E48" i="18"/>
  <c r="E47" i="18"/>
  <c r="E46" i="18"/>
  <c r="E45" i="18"/>
  <c r="E44" i="18"/>
  <c r="E42" i="18"/>
  <c r="E41" i="18"/>
  <c r="H38" i="18"/>
  <c r="E15" i="16" s="1"/>
  <c r="F39" i="15" s="1"/>
  <c r="H39" i="15" s="1"/>
  <c r="G37" i="18"/>
  <c r="H37" i="18" s="1"/>
  <c r="E14" i="16" s="1"/>
  <c r="E34" i="18"/>
  <c r="H32" i="18"/>
  <c r="E12" i="16" s="1"/>
  <c r="F24" i="15" s="1"/>
  <c r="H24" i="15" s="1"/>
  <c r="E31" i="18"/>
  <c r="H19" i="18"/>
  <c r="M23" i="26" s="1"/>
  <c r="O23" i="26" s="1"/>
  <c r="H13" i="18"/>
  <c r="M42" i="26" s="1"/>
  <c r="O42" i="26" s="1"/>
  <c r="G6" i="18"/>
  <c r="H6" i="18" s="1"/>
  <c r="M103" i="26" s="1"/>
  <c r="O103" i="26" s="1"/>
  <c r="M99" i="23" l="1"/>
  <c r="O99" i="23" s="1"/>
  <c r="E80" i="16"/>
  <c r="F54" i="15" s="1"/>
  <c r="H54" i="15" s="1"/>
  <c r="E20" i="16"/>
  <c r="F4" i="15" s="1"/>
  <c r="H4" i="15" s="1"/>
  <c r="E33" i="16"/>
  <c r="F70" i="15" s="1"/>
  <c r="H70" i="15" s="1"/>
  <c r="E19" i="16"/>
  <c r="F57" i="15" s="1"/>
  <c r="H57" i="15" s="1"/>
  <c r="E34" i="16"/>
  <c r="F3" i="15" s="1"/>
  <c r="H3" i="15" s="1"/>
  <c r="M48" i="22"/>
  <c r="O48" i="22" s="1"/>
  <c r="M48" i="23"/>
  <c r="O48" i="23" s="1"/>
  <c r="M40" i="22"/>
  <c r="O40" i="22" s="1"/>
  <c r="M40" i="23"/>
  <c r="O40" i="23" s="1"/>
  <c r="M29" i="22"/>
  <c r="O29" i="22" s="1"/>
  <c r="M29" i="23"/>
  <c r="O29" i="23" s="1"/>
  <c r="M23" i="22"/>
  <c r="O23" i="22" s="1"/>
  <c r="M23" i="23"/>
  <c r="O23" i="23" s="1"/>
  <c r="J6" i="18"/>
  <c r="M97" i="22"/>
  <c r="O97" i="22" s="1"/>
  <c r="L41" i="18"/>
  <c r="K41" i="18"/>
  <c r="K46" i="18"/>
  <c r="L46" i="18"/>
  <c r="L50" i="18"/>
  <c r="K50" i="18"/>
  <c r="K54" i="18"/>
  <c r="L54" i="18"/>
  <c r="G58" i="18"/>
  <c r="H58" i="18" s="1"/>
  <c r="L58" i="18"/>
  <c r="K58" i="18"/>
  <c r="L49" i="18"/>
  <c r="K49" i="18"/>
  <c r="G57" i="18"/>
  <c r="H57" i="18" s="1"/>
  <c r="L57" i="18"/>
  <c r="K57" i="18"/>
  <c r="L42" i="18"/>
  <c r="K42" i="18"/>
  <c r="L51" i="18"/>
  <c r="K51" i="18"/>
  <c r="L55" i="18"/>
  <c r="K55" i="18"/>
  <c r="K31" i="18"/>
  <c r="L31" i="18"/>
  <c r="L45" i="18"/>
  <c r="K45" i="18"/>
  <c r="L53" i="18"/>
  <c r="K53" i="18"/>
  <c r="L47" i="18"/>
  <c r="K47" i="18"/>
  <c r="K44" i="18"/>
  <c r="L44" i="18"/>
  <c r="K48" i="18"/>
  <c r="L48" i="18"/>
  <c r="K52" i="18"/>
  <c r="L52" i="18"/>
  <c r="K56" i="18"/>
  <c r="L56" i="18"/>
  <c r="G59" i="18"/>
  <c r="K59" i="18"/>
  <c r="L59" i="18"/>
  <c r="Q60" i="18"/>
  <c r="R60" i="18" s="1"/>
  <c r="K34" i="18"/>
  <c r="L34" i="18"/>
  <c r="J19" i="18"/>
  <c r="J14" i="18"/>
  <c r="J20" i="18"/>
  <c r="J13" i="18"/>
  <c r="G35" i="18"/>
  <c r="G45" i="18"/>
  <c r="H45" i="18" s="1"/>
  <c r="E59" i="16" s="1"/>
  <c r="F55" i="15" s="1"/>
  <c r="H55" i="15" s="1"/>
  <c r="G5" i="18"/>
  <c r="H5" i="18" s="1"/>
  <c r="M58" i="26" s="1"/>
  <c r="O58" i="26" s="1"/>
  <c r="G31" i="18"/>
  <c r="H31" i="18" s="1"/>
  <c r="E29" i="16" s="1"/>
  <c r="F68" i="15" s="1"/>
  <c r="H68" i="15" s="1"/>
  <c r="G41" i="18"/>
  <c r="H41" i="18" s="1"/>
  <c r="E73" i="16" s="1"/>
  <c r="F45" i="15" s="1"/>
  <c r="H45" i="15" s="1"/>
  <c r="G50" i="18"/>
  <c r="H50" i="18" s="1"/>
  <c r="E10" i="16" s="1"/>
  <c r="G11" i="18"/>
  <c r="H11" i="18" s="1"/>
  <c r="M70" i="26" s="1"/>
  <c r="O70" i="26" s="1"/>
  <c r="G24" i="18"/>
  <c r="H24" i="18" s="1"/>
  <c r="M89" i="26" s="1"/>
  <c r="O89" i="26" s="1"/>
  <c r="G42" i="18"/>
  <c r="H42" i="18" s="1"/>
  <c r="E70" i="16" s="1"/>
  <c r="F46" i="15" s="1"/>
  <c r="H46" i="15" s="1"/>
  <c r="G47" i="18"/>
  <c r="H47" i="18" s="1"/>
  <c r="E23" i="16" s="1"/>
  <c r="G51" i="18"/>
  <c r="H51" i="18" s="1"/>
  <c r="E7" i="16" s="1"/>
  <c r="G55" i="18"/>
  <c r="H55" i="18" s="1"/>
  <c r="E11" i="16" s="1"/>
  <c r="G8" i="18"/>
  <c r="H8" i="18" s="1"/>
  <c r="M111" i="26" s="1"/>
  <c r="O111" i="26" s="1"/>
  <c r="G40" i="18"/>
  <c r="H40" i="18" s="1"/>
  <c r="E72" i="16" s="1"/>
  <c r="G49" i="18"/>
  <c r="H49" i="18" s="1"/>
  <c r="E57" i="16" s="1"/>
  <c r="G53" i="18"/>
  <c r="H53" i="18" s="1"/>
  <c r="E9" i="16" s="1"/>
  <c r="G9" i="18"/>
  <c r="H9" i="18" s="1"/>
  <c r="M115" i="26" s="1"/>
  <c r="O115" i="26" s="1"/>
  <c r="G23" i="18"/>
  <c r="H23" i="18" s="1"/>
  <c r="M85" i="26" s="1"/>
  <c r="O85" i="26" s="1"/>
  <c r="G46" i="18"/>
  <c r="H46" i="18" s="1"/>
  <c r="E4" i="16" s="1"/>
  <c r="F60" i="15" s="1"/>
  <c r="H60" i="15" s="1"/>
  <c r="G54" i="18"/>
  <c r="H54" i="18" s="1"/>
  <c r="E27" i="16" s="1"/>
  <c r="G7" i="18"/>
  <c r="H7" i="18" s="1"/>
  <c r="M107" i="26" s="1"/>
  <c r="O107" i="26" s="1"/>
  <c r="G25" i="18"/>
  <c r="H25" i="18" s="1"/>
  <c r="M38" i="26" s="1"/>
  <c r="O38" i="26" s="1"/>
  <c r="G34" i="18"/>
  <c r="H34" i="18" s="1"/>
  <c r="E79" i="16" s="1"/>
  <c r="F19" i="15" s="1"/>
  <c r="H19" i="15" s="1"/>
  <c r="G39" i="18"/>
  <c r="H39" i="18" s="1"/>
  <c r="E16" i="16" s="1"/>
  <c r="G44" i="18"/>
  <c r="H44" i="18" s="1"/>
  <c r="E62" i="16" s="1"/>
  <c r="F48" i="15" s="1"/>
  <c r="H48" i="15" s="1"/>
  <c r="G48" i="18"/>
  <c r="H48" i="18" s="1"/>
  <c r="E55" i="16" s="1"/>
  <c r="G52" i="18"/>
  <c r="H52" i="18" s="1"/>
  <c r="E8" i="16" s="1"/>
  <c r="G56" i="18"/>
  <c r="H56" i="18" s="1"/>
  <c r="E48" i="16" s="1"/>
  <c r="H59" i="18"/>
  <c r="E69" i="16" s="1"/>
  <c r="E30" i="18"/>
  <c r="I69" i="23" l="1"/>
  <c r="O69" i="23" s="1"/>
  <c r="I73" i="26"/>
  <c r="O73" i="26" s="1"/>
  <c r="M38" i="23"/>
  <c r="O38" i="23" s="1"/>
  <c r="E30" i="16"/>
  <c r="F51" i="15" s="1"/>
  <c r="H51" i="15" s="1"/>
  <c r="M81" i="23"/>
  <c r="O81" i="23" s="1"/>
  <c r="E63" i="16"/>
  <c r="F67" i="15" s="1"/>
  <c r="H67" i="15" s="1"/>
  <c r="M103" i="23"/>
  <c r="O103" i="23" s="1"/>
  <c r="E83" i="16"/>
  <c r="F58" i="15" s="1"/>
  <c r="H58" i="15" s="1"/>
  <c r="M107" i="23"/>
  <c r="O107" i="23" s="1"/>
  <c r="E86" i="16"/>
  <c r="F56" i="15" s="1"/>
  <c r="H56" i="15" s="1"/>
  <c r="M85" i="23"/>
  <c r="O85" i="23" s="1"/>
  <c r="E66" i="16"/>
  <c r="F73" i="15" s="1"/>
  <c r="H73" i="15" s="1"/>
  <c r="E81" i="16"/>
  <c r="E82" i="16" s="1"/>
  <c r="M66" i="23"/>
  <c r="O66" i="23" s="1"/>
  <c r="E49" i="16"/>
  <c r="F37" i="15" s="1"/>
  <c r="H37" i="15" s="1"/>
  <c r="M56" i="23"/>
  <c r="O56" i="23" s="1"/>
  <c r="E41" i="16"/>
  <c r="F69" i="15" s="1"/>
  <c r="H69" i="15" s="1"/>
  <c r="M111" i="23"/>
  <c r="O111" i="23" s="1"/>
  <c r="E89" i="16"/>
  <c r="F50" i="15" s="1"/>
  <c r="H50" i="15" s="1"/>
  <c r="E60" i="16"/>
  <c r="E61" i="16" s="1"/>
  <c r="E74" i="16"/>
  <c r="E75" i="16" s="1"/>
  <c r="E5" i="16"/>
  <c r="E6" i="16" s="1"/>
  <c r="M109" i="22"/>
  <c r="O109" i="22" s="1"/>
  <c r="M105" i="22"/>
  <c r="O105" i="22" s="1"/>
  <c r="M101" i="22"/>
  <c r="O101" i="22" s="1"/>
  <c r="M83" i="22"/>
  <c r="O83" i="22" s="1"/>
  <c r="M79" i="22"/>
  <c r="O79" i="22" s="1"/>
  <c r="M56" i="22"/>
  <c r="O56" i="22" s="1"/>
  <c r="M38" i="22"/>
  <c r="O38" i="22" s="1"/>
  <c r="I67" i="22"/>
  <c r="O67" i="22" s="1"/>
  <c r="J11" i="18"/>
  <c r="M64" i="22"/>
  <c r="O64" i="22" s="1"/>
  <c r="G30" i="18"/>
  <c r="H30" i="18" s="1"/>
  <c r="E28" i="16" s="1"/>
  <c r="F27" i="15" s="1"/>
  <c r="H27" i="15" s="1"/>
  <c r="K30" i="18"/>
  <c r="L30" i="18"/>
  <c r="P52" i="18"/>
  <c r="N52" i="18"/>
  <c r="P44" i="18"/>
  <c r="N44" i="18"/>
  <c r="N31" i="18"/>
  <c r="P31" i="18"/>
  <c r="P49" i="18"/>
  <c r="N49" i="18"/>
  <c r="P54" i="18"/>
  <c r="N54" i="18"/>
  <c r="P46" i="18"/>
  <c r="N46" i="18"/>
  <c r="N53" i="18"/>
  <c r="P53" i="18"/>
  <c r="P51" i="18"/>
  <c r="N51" i="18"/>
  <c r="N57" i="18"/>
  <c r="P57" i="18"/>
  <c r="N56" i="18"/>
  <c r="P56" i="18"/>
  <c r="P48" i="18"/>
  <c r="N48" i="18"/>
  <c r="P58" i="18"/>
  <c r="N58" i="18"/>
  <c r="N59" i="18"/>
  <c r="P59" i="18"/>
  <c r="P47" i="18"/>
  <c r="N47" i="18"/>
  <c r="P45" i="18"/>
  <c r="N45" i="18"/>
  <c r="N55" i="18"/>
  <c r="P55" i="18"/>
  <c r="P42" i="18"/>
  <c r="N42" i="18"/>
  <c r="N50" i="18"/>
  <c r="P50" i="18"/>
  <c r="P41" i="18"/>
  <c r="N41" i="18"/>
  <c r="P34" i="18"/>
  <c r="N34" i="18"/>
  <c r="J23" i="18"/>
  <c r="J7" i="18"/>
  <c r="J9" i="18"/>
  <c r="J8" i="18"/>
  <c r="J24" i="18"/>
  <c r="J4" i="18"/>
  <c r="J5" i="18"/>
  <c r="H35" i="18"/>
  <c r="E45" i="16" s="1"/>
  <c r="F61" i="15" s="1"/>
  <c r="H61" i="15" s="1"/>
  <c r="I57" i="18"/>
  <c r="E42" i="16" l="1"/>
  <c r="E43" i="16" s="1"/>
  <c r="E87" i="16"/>
  <c r="E88" i="16" s="1"/>
  <c r="E31" i="16"/>
  <c r="E32" i="16" s="1"/>
  <c r="E67" i="16"/>
  <c r="E68" i="16" s="1"/>
  <c r="E84" i="16"/>
  <c r="E85" i="16" s="1"/>
  <c r="E64" i="16"/>
  <c r="E65" i="16" s="1"/>
  <c r="I15" i="15"/>
  <c r="I40" i="15"/>
  <c r="E90" i="16"/>
  <c r="E91" i="16" s="1"/>
  <c r="I29" i="15"/>
  <c r="Q47" i="18"/>
  <c r="R47" i="18" s="1"/>
  <c r="I30" i="26" s="1"/>
  <c r="O30" i="26" s="1"/>
  <c r="Q51" i="18"/>
  <c r="R51" i="18" s="1"/>
  <c r="I10" i="26" s="1"/>
  <c r="O10" i="26" s="1"/>
  <c r="Q46" i="18"/>
  <c r="R46" i="18" s="1"/>
  <c r="Q44" i="18"/>
  <c r="R44" i="18" s="1"/>
  <c r="I83" i="26" s="1"/>
  <c r="O83" i="26" s="1"/>
  <c r="Q42" i="18"/>
  <c r="R42" i="18" s="1"/>
  <c r="Q45" i="18"/>
  <c r="R45" i="18" s="1"/>
  <c r="Q53" i="18"/>
  <c r="R53" i="18" s="1"/>
  <c r="Q52" i="18"/>
  <c r="R52" i="18" s="1"/>
  <c r="I11" i="15"/>
  <c r="I20" i="15"/>
  <c r="Q58" i="18"/>
  <c r="R58" i="18" s="1"/>
  <c r="Q34" i="18"/>
  <c r="R34" i="18" s="1"/>
  <c r="Q41" i="18"/>
  <c r="R41" i="18" s="1"/>
  <c r="Q59" i="18"/>
  <c r="R59" i="18" s="1"/>
  <c r="Q48" i="18"/>
  <c r="R48" i="18" s="1"/>
  <c r="Q57" i="18"/>
  <c r="R57" i="18" s="1"/>
  <c r="Q49" i="18"/>
  <c r="R49" i="18" s="1"/>
  <c r="P30" i="18"/>
  <c r="N30" i="18"/>
  <c r="Q50" i="18"/>
  <c r="R50" i="18" s="1"/>
  <c r="Q55" i="18"/>
  <c r="R55" i="18" s="1"/>
  <c r="Q56" i="18"/>
  <c r="R56" i="18" s="1"/>
  <c r="Q54" i="18"/>
  <c r="R54" i="18" s="1"/>
  <c r="Q31" i="18"/>
  <c r="R31" i="18" s="1"/>
  <c r="I18" i="15"/>
  <c r="I34" i="23" l="1"/>
  <c r="O34" i="23" s="1"/>
  <c r="I34" i="26"/>
  <c r="O34" i="26" s="1"/>
  <c r="I14" i="23"/>
  <c r="O14" i="23" s="1"/>
  <c r="I14" i="26"/>
  <c r="O14" i="26" s="1"/>
  <c r="I82" i="26"/>
  <c r="O82" i="26" s="1"/>
  <c r="I81" i="26"/>
  <c r="O81" i="26" s="1"/>
  <c r="I80" i="26"/>
  <c r="O80" i="26" s="1"/>
  <c r="I100" i="26"/>
  <c r="O100" i="26" s="1"/>
  <c r="I99" i="26"/>
  <c r="O99" i="26" s="1"/>
  <c r="I98" i="26"/>
  <c r="O98" i="26" s="1"/>
  <c r="I12" i="23"/>
  <c r="O12" i="23" s="1"/>
  <c r="I12" i="26"/>
  <c r="O12" i="26" s="1"/>
  <c r="I73" i="23"/>
  <c r="O73" i="23" s="1"/>
  <c r="I77" i="26"/>
  <c r="O77" i="26" s="1"/>
  <c r="I11" i="23"/>
  <c r="O11" i="23" s="1"/>
  <c r="I11" i="26"/>
  <c r="O11" i="26" s="1"/>
  <c r="I10" i="22"/>
  <c r="O10" i="22" s="1"/>
  <c r="I97" i="23"/>
  <c r="O97" i="23" s="1"/>
  <c r="I101" i="26"/>
  <c r="O101" i="26" s="1"/>
  <c r="I64" i="23"/>
  <c r="O64" i="23" s="1"/>
  <c r="I68" i="26"/>
  <c r="O68" i="26" s="1"/>
  <c r="I36" i="23"/>
  <c r="O36" i="23" s="1"/>
  <c r="I36" i="26"/>
  <c r="O36" i="26" s="1"/>
  <c r="I13" i="23"/>
  <c r="O13" i="23" s="1"/>
  <c r="I13" i="26"/>
  <c r="O13" i="26" s="1"/>
  <c r="I91" i="23"/>
  <c r="O91" i="23" s="1"/>
  <c r="I95" i="26"/>
  <c r="O95" i="26" s="1"/>
  <c r="I31" i="23"/>
  <c r="O31" i="23" s="1"/>
  <c r="I31" i="26"/>
  <c r="O31" i="26" s="1"/>
  <c r="I71" i="23"/>
  <c r="O71" i="23" s="1"/>
  <c r="I75" i="26"/>
  <c r="O75" i="26" s="1"/>
  <c r="I90" i="23"/>
  <c r="O90" i="23" s="1"/>
  <c r="I94" i="26"/>
  <c r="O94" i="26" s="1"/>
  <c r="I9" i="26"/>
  <c r="O9" i="26" s="1"/>
  <c r="I8" i="26"/>
  <c r="O8" i="26" s="1"/>
  <c r="I7" i="26"/>
  <c r="O7" i="26" s="1"/>
  <c r="I61" i="15"/>
  <c r="I14" i="15"/>
  <c r="I13" i="15"/>
  <c r="I10" i="23"/>
  <c r="O10" i="23" s="1"/>
  <c r="I30" i="22"/>
  <c r="O30" i="22" s="1"/>
  <c r="I30" i="23"/>
  <c r="O30" i="23" s="1"/>
  <c r="I95" i="23"/>
  <c r="O95" i="23" s="1"/>
  <c r="I94" i="23"/>
  <c r="O94" i="23" s="1"/>
  <c r="I96" i="23"/>
  <c r="O96" i="23" s="1"/>
  <c r="I77" i="23"/>
  <c r="O77" i="23" s="1"/>
  <c r="I76" i="23"/>
  <c r="O76" i="23" s="1"/>
  <c r="I78" i="23"/>
  <c r="O78" i="23" s="1"/>
  <c r="I77" i="22"/>
  <c r="O77" i="22" s="1"/>
  <c r="I79" i="23"/>
  <c r="O79" i="23" s="1"/>
  <c r="I7" i="22"/>
  <c r="O7" i="22" s="1"/>
  <c r="I7" i="23"/>
  <c r="O7" i="23" s="1"/>
  <c r="I9" i="23"/>
  <c r="O9" i="23" s="1"/>
  <c r="I8" i="23"/>
  <c r="O8" i="23" s="1"/>
  <c r="I63" i="15"/>
  <c r="I59" i="15"/>
  <c r="I67" i="15"/>
  <c r="I37" i="15"/>
  <c r="I9" i="22"/>
  <c r="O9" i="22" s="1"/>
  <c r="I8" i="22"/>
  <c r="O8" i="22" s="1"/>
  <c r="I71" i="22"/>
  <c r="O71" i="22" s="1"/>
  <c r="I12" i="22"/>
  <c r="O12" i="22" s="1"/>
  <c r="I14" i="22"/>
  <c r="O14" i="22" s="1"/>
  <c r="I94" i="22"/>
  <c r="O94" i="22" s="1"/>
  <c r="I92" i="22"/>
  <c r="O92" i="22" s="1"/>
  <c r="I93" i="22"/>
  <c r="O93" i="22" s="1"/>
  <c r="I36" i="22"/>
  <c r="O36" i="22" s="1"/>
  <c r="I74" i="22"/>
  <c r="O74" i="22" s="1"/>
  <c r="I75" i="22"/>
  <c r="O75" i="22" s="1"/>
  <c r="I76" i="22"/>
  <c r="O76" i="22" s="1"/>
  <c r="I62" i="22"/>
  <c r="O62" i="22" s="1"/>
  <c r="I88" i="22"/>
  <c r="O88" i="22" s="1"/>
  <c r="I11" i="22"/>
  <c r="O11" i="22" s="1"/>
  <c r="I13" i="22"/>
  <c r="O13" i="22" s="1"/>
  <c r="I31" i="22"/>
  <c r="O31" i="22" s="1"/>
  <c r="I23" i="15"/>
  <c r="I34" i="22"/>
  <c r="O34" i="22" s="1"/>
  <c r="I69" i="22"/>
  <c r="O69" i="22" s="1"/>
  <c r="I95" i="22"/>
  <c r="O95" i="22" s="1"/>
  <c r="I89" i="22"/>
  <c r="O89" i="22" s="1"/>
  <c r="I21" i="15"/>
  <c r="I52" i="15"/>
  <c r="I6" i="15"/>
  <c r="I19" i="15"/>
  <c r="I4" i="15"/>
  <c r="Q30" i="18"/>
  <c r="R30" i="18" s="1"/>
  <c r="I10" i="15"/>
  <c r="I65" i="15"/>
  <c r="I9" i="15"/>
  <c r="I5" i="15"/>
  <c r="A1" i="15"/>
  <c r="I35" i="23" l="1"/>
  <c r="O35" i="23" s="1"/>
  <c r="I35" i="26"/>
  <c r="O35" i="26" s="1"/>
  <c r="I62" i="15"/>
  <c r="I66" i="15"/>
  <c r="I47" i="15"/>
  <c r="I46" i="15"/>
  <c r="S47" i="18"/>
  <c r="S51" i="18"/>
  <c r="S105" i="18"/>
  <c r="I53" i="15"/>
  <c r="I56" i="15"/>
  <c r="I16" i="15"/>
  <c r="I43" i="15"/>
  <c r="I35" i="22"/>
  <c r="O35" i="22" s="1"/>
  <c r="I45" i="15"/>
  <c r="S48" i="18" l="1"/>
  <c r="S56" i="18"/>
  <c r="S55" i="18"/>
  <c r="S52" i="18"/>
  <c r="S53" i="18"/>
  <c r="S49" i="18"/>
  <c r="S50" i="18"/>
  <c r="S54" i="18"/>
  <c r="S42" i="18"/>
  <c r="S41" i="18"/>
  <c r="S46" i="18"/>
  <c r="S44" i="18"/>
  <c r="S45" i="18"/>
  <c r="S30" i="18" l="1"/>
  <c r="A7" i="14"/>
  <c r="A8" i="14" s="1"/>
  <c r="A9" i="14" s="1"/>
  <c r="A10" i="14" s="1"/>
  <c r="A11" i="14" s="1"/>
  <c r="A12" i="14" s="1"/>
  <c r="A13" i="14" s="1"/>
  <c r="A14" i="14" s="1"/>
  <c r="A15" i="14" s="1"/>
  <c r="A16" i="14" s="1"/>
  <c r="A17" i="14" s="1"/>
  <c r="A18" i="14" s="1"/>
  <c r="A19" i="14" s="1"/>
  <c r="A20" i="14" s="1"/>
  <c r="A21" i="14" s="1"/>
  <c r="A22" i="14" s="1"/>
  <c r="A23" i="14" s="1"/>
  <c r="A24" i="14" s="1"/>
  <c r="A25" i="14" s="1"/>
  <c r="A26" i="14" s="1"/>
  <c r="A27" i="14" s="1"/>
  <c r="A28" i="14" s="1"/>
  <c r="A29" i="14" s="1"/>
  <c r="A30" i="14" s="1"/>
  <c r="A31" i="14" s="1"/>
  <c r="A32" i="14" s="1"/>
  <c r="A33" i="14" s="1"/>
  <c r="A34" i="14" s="1"/>
  <c r="A35" i="14" s="1"/>
  <c r="A36" i="14" s="1"/>
  <c r="A37" i="14" s="1"/>
  <c r="A38" i="14" s="1"/>
  <c r="A39" i="14" s="1"/>
  <c r="A40" i="14" s="1"/>
  <c r="A41" i="14" s="1"/>
  <c r="A42" i="14" s="1"/>
  <c r="A43" i="14" s="1"/>
  <c r="A44" i="14" s="1"/>
  <c r="A45" i="14" s="1"/>
  <c r="A46" i="14" s="1"/>
  <c r="A47" i="14" s="1"/>
  <c r="A48" i="14" s="1"/>
  <c r="A49" i="14" s="1"/>
  <c r="A50" i="14" s="1"/>
  <c r="A51" i="14" s="1"/>
  <c r="A52" i="14" s="1"/>
  <c r="A53" i="14" s="1"/>
  <c r="A54" i="14" s="1"/>
  <c r="A55" i="14" s="1"/>
  <c r="A56" i="14" s="1"/>
  <c r="A57" i="14" s="1"/>
  <c r="A7" i="13" l="1"/>
  <c r="A8" i="13" s="1"/>
  <c r="A9" i="13" s="1"/>
  <c r="A10" i="13" s="1"/>
  <c r="A11" i="13" s="1"/>
  <c r="A12" i="13" s="1"/>
  <c r="A13" i="13" s="1"/>
  <c r="A14" i="13" s="1"/>
  <c r="A15" i="13" s="1"/>
  <c r="A16" i="13" s="1"/>
  <c r="A17" i="13" s="1"/>
  <c r="A18" i="13" s="1"/>
  <c r="A19" i="13" s="1"/>
  <c r="A20" i="13" s="1"/>
  <c r="A21" i="13" s="1"/>
  <c r="A22" i="13" s="1"/>
  <c r="A23" i="13" s="1"/>
  <c r="A24" i="13" s="1"/>
  <c r="A25" i="13" s="1"/>
  <c r="A26" i="13" s="1"/>
  <c r="A27" i="13" s="1"/>
  <c r="A28" i="13" s="1"/>
  <c r="A29" i="13" s="1"/>
  <c r="A30" i="13" s="1"/>
  <c r="A31" i="13" s="1"/>
  <c r="A32" i="13" s="1"/>
  <c r="A33" i="13" s="1"/>
  <c r="A34" i="13" s="1"/>
  <c r="A35" i="13" s="1"/>
  <c r="A36" i="13" s="1"/>
  <c r="A37" i="13" s="1"/>
  <c r="A38" i="13" s="1"/>
  <c r="A39" i="13" s="1"/>
  <c r="A40" i="13" s="1"/>
  <c r="A41" i="13" s="1"/>
  <c r="A42" i="13" s="1"/>
  <c r="A43" i="13" s="1"/>
  <c r="A44" i="13" s="1"/>
  <c r="A45" i="13" s="1"/>
  <c r="A46" i="13" s="1"/>
  <c r="A47" i="13" s="1"/>
  <c r="A48" i="13" s="1"/>
  <c r="A49" i="13" s="1"/>
  <c r="A50" i="13" s="1"/>
  <c r="A51" i="13" s="1"/>
  <c r="A52" i="13" s="1"/>
  <c r="A53" i="13" s="1"/>
  <c r="A54" i="13" s="1"/>
  <c r="A55" i="13" s="1"/>
  <c r="A56" i="13" s="1"/>
  <c r="A57" i="13" s="1"/>
  <c r="A58" i="13" s="1"/>
  <c r="A59" i="13" s="1"/>
  <c r="A60" i="13" s="1"/>
  <c r="A61" i="13" s="1"/>
  <c r="S38" i="18" l="1"/>
  <c r="S63" i="18" l="1"/>
  <c r="S18" i="18" l="1"/>
  <c r="S19" i="18" l="1"/>
  <c r="S22" i="18" l="1"/>
  <c r="S21" i="18" l="1"/>
  <c r="S20" i="18" l="1"/>
  <c r="S62" i="18" l="1"/>
  <c r="S31" i="18" l="1"/>
  <c r="S25" i="18" l="1"/>
  <c r="S13" i="18" l="1"/>
  <c r="S16" i="18" l="1"/>
  <c r="S15" i="18" l="1"/>
  <c r="S17" i="18" l="1"/>
  <c r="S14" i="18" l="1"/>
  <c r="S27" i="18" l="1"/>
  <c r="S4" i="18" l="1"/>
  <c r="S5" i="18" l="1"/>
  <c r="S35" i="18" l="1"/>
  <c r="S28" i="18" l="1"/>
  <c r="S36" i="18"/>
  <c r="S11" i="18" l="1"/>
  <c r="S12" i="18" l="1"/>
  <c r="S60" i="18" l="1"/>
  <c r="S108" i="18" l="1"/>
  <c r="S23" i="18" l="1"/>
  <c r="S24" i="18" l="1"/>
  <c r="S26" i="18" l="1"/>
  <c r="S59" i="18" l="1"/>
  <c r="S34" i="18" l="1"/>
  <c r="S6" i="18" l="1"/>
  <c r="S7" i="18" l="1"/>
  <c r="S8" i="18" l="1"/>
  <c r="S9" i="18" l="1"/>
  <c r="S10" i="18" l="1"/>
  <c r="S66" i="18" l="1"/>
  <c r="S69" i="18"/>
  <c r="S68" i="18" l="1"/>
  <c r="S67" i="18" l="1"/>
  <c r="S70" i="18" l="1"/>
  <c r="S71" i="18" l="1"/>
  <c r="S72" i="18" l="1"/>
  <c r="S73" i="18" l="1"/>
  <c r="S74" i="18" l="1"/>
  <c r="S75" i="18" l="1"/>
  <c r="S76" i="18" l="1"/>
  <c r="S77" i="18" l="1"/>
  <c r="S78" i="18" l="1"/>
  <c r="S79" i="18" l="1"/>
  <c r="S80" i="18" l="1"/>
  <c r="S81" i="18" l="1"/>
  <c r="S82" i="18" l="1"/>
  <c r="S83" i="18" l="1"/>
  <c r="S84" i="18" l="1"/>
  <c r="S85" i="18" l="1"/>
  <c r="S86" i="18" l="1"/>
  <c r="S88" i="18" l="1"/>
  <c r="S89" i="18" l="1"/>
  <c r="S90" i="18" l="1"/>
  <c r="S91" i="18" l="1"/>
  <c r="S93" i="18" l="1"/>
  <c r="S94" i="18" l="1"/>
  <c r="S95" i="18" l="1"/>
  <c r="S96" i="18" l="1"/>
  <c r="S97" i="18" l="1"/>
  <c r="S98" i="18" l="1"/>
  <c r="S29" i="18" l="1"/>
  <c r="S99" i="18" l="1"/>
  <c r="S100" i="18" l="1"/>
  <c r="S101" i="18" l="1"/>
  <c r="S102" i="18" l="1"/>
  <c r="S103" i="18" l="1"/>
  <c r="S104" i="18" l="1"/>
  <c r="E59" i="19" l="1"/>
  <c r="E58" i="19" s="1"/>
  <c r="E57" i="19" s="1"/>
  <c r="E56" i="19" s="1"/>
  <c r="E55" i="19" s="1"/>
  <c r="E54" i="19" s="1"/>
  <c r="E53" i="19" s="1"/>
  <c r="E52" i="19" s="1"/>
  <c r="E51" i="19" s="1"/>
  <c r="E50" i="19" s="1"/>
  <c r="E49" i="19" s="1"/>
  <c r="E48" i="19" s="1"/>
  <c r="E47" i="19" s="1"/>
  <c r="E46" i="19" s="1"/>
  <c r="E45" i="19" s="1"/>
  <c r="E44" i="19" s="1"/>
  <c r="E43" i="19" s="1"/>
  <c r="E42" i="19" s="1"/>
  <c r="E41" i="19" s="1"/>
  <c r="E40" i="19" s="1"/>
  <c r="E39" i="19" s="1"/>
  <c r="E38" i="19" s="1"/>
  <c r="E37" i="19" s="1"/>
  <c r="E36" i="19" s="1"/>
  <c r="E35" i="19" s="1"/>
  <c r="E34" i="19" s="1"/>
  <c r="E33" i="19" s="1"/>
  <c r="E32" i="19" s="1"/>
  <c r="E31" i="19" s="1"/>
  <c r="E30" i="19" s="1"/>
  <c r="E29" i="19" s="1"/>
  <c r="E28" i="19" s="1"/>
  <c r="E27" i="19" s="1"/>
  <c r="E26" i="19" s="1"/>
  <c r="E25" i="19" s="1"/>
  <c r="E24" i="19" s="1"/>
  <c r="E23" i="19" s="1"/>
  <c r="E22" i="19" s="1"/>
  <c r="E21" i="19" s="1"/>
  <c r="E20" i="19" s="1"/>
  <c r="E19" i="19" s="1"/>
  <c r="E18" i="19" s="1"/>
  <c r="E17" i="19" s="1"/>
  <c r="E16" i="19" s="1"/>
  <c r="E15" i="19" s="1"/>
  <c r="E14" i="19" s="1"/>
  <c r="E13" i="19" s="1"/>
  <c r="E12" i="19" s="1"/>
  <c r="E11" i="19" s="1"/>
  <c r="E10" i="19" s="1"/>
  <c r="E9" i="19" s="1"/>
  <c r="E8" i="19" s="1"/>
  <c r="E7" i="19" s="1"/>
  <c r="E6" i="19" s="1"/>
  <c r="E5" i="19" s="1"/>
  <c r="E75" i="15"/>
  <c r="E74" i="15"/>
  <c r="E73" i="15"/>
  <c r="E72" i="15"/>
  <c r="E71" i="15"/>
  <c r="E70" i="15"/>
  <c r="E69" i="15"/>
  <c r="E68" i="15"/>
  <c r="E67" i="15"/>
  <c r="E66" i="15"/>
  <c r="E65" i="15"/>
  <c r="E64" i="15"/>
  <c r="E63" i="15" s="1"/>
  <c r="E62" i="15" s="1"/>
  <c r="E61" i="15" s="1"/>
  <c r="E60" i="15" s="1"/>
  <c r="E59" i="15" s="1"/>
  <c r="E58" i="15" s="1"/>
  <c r="E57" i="15" s="1"/>
  <c r="E56" i="15" s="1"/>
  <c r="E55" i="15" s="1"/>
  <c r="E54" i="15" s="1"/>
  <c r="E53" i="15" s="1"/>
  <c r="E52" i="15" s="1"/>
  <c r="E51" i="15" s="1"/>
  <c r="E50" i="15" s="1"/>
  <c r="E49" i="15" s="1"/>
  <c r="E48" i="15" s="1"/>
  <c r="E47" i="15" s="1"/>
  <c r="E46" i="15" s="1"/>
  <c r="E45" i="15" s="1"/>
  <c r="E44" i="15" s="1"/>
  <c r="E43" i="15" s="1"/>
  <c r="E42" i="15" s="1"/>
  <c r="E41" i="15" s="1"/>
  <c r="E40" i="15" s="1"/>
  <c r="E39" i="15" s="1"/>
  <c r="E38" i="15" s="1"/>
  <c r="E37" i="15" s="1"/>
  <c r="E36" i="15" s="1"/>
  <c r="E35" i="15" s="1"/>
  <c r="E34" i="15" s="1"/>
  <c r="E33" i="15" s="1"/>
  <c r="E32" i="15" s="1"/>
  <c r="E31" i="15" s="1"/>
  <c r="E30" i="15" s="1"/>
  <c r="E29" i="15" s="1"/>
  <c r="E28" i="15" s="1"/>
  <c r="E27" i="15" s="1"/>
  <c r="E26" i="15" s="1"/>
  <c r="E25" i="15" s="1"/>
  <c r="E24" i="15" s="1"/>
  <c r="E23" i="15" s="1"/>
  <c r="E22" i="15" s="1"/>
  <c r="E21" i="15" s="1"/>
  <c r="E20" i="15" s="1"/>
  <c r="E19" i="15" s="1"/>
  <c r="E18" i="15" s="1"/>
  <c r="E17" i="15" s="1"/>
  <c r="E16" i="15" s="1"/>
  <c r="E15" i="15" s="1"/>
  <c r="E14" i="15" s="1"/>
  <c r="E13" i="15" s="1"/>
  <c r="E12" i="15" s="1"/>
  <c r="E11" i="15" s="1"/>
  <c r="E10" i="15" s="1"/>
  <c r="E9" i="15" s="1"/>
  <c r="E8" i="15" s="1"/>
  <c r="E7" i="15" s="1"/>
  <c r="E6" i="15" s="1"/>
  <c r="E5" i="15" s="1"/>
  <c r="E4" i="15" s="1"/>
  <c r="E3" i="15" s="1"/>
</calcChain>
</file>

<file path=xl/comments1.xml><?xml version="1.0" encoding="utf-8"?>
<comments xmlns="http://schemas.openxmlformats.org/spreadsheetml/2006/main">
  <authors>
    <author>AKRITI AGRAWAL</author>
  </authors>
  <commentList>
    <comment ref="M108" authorId="0" shapeId="0">
      <text>
        <r>
          <rPr>
            <b/>
            <sz val="9"/>
            <color indexed="81"/>
            <rFont val="Tahoma"/>
            <family val="2"/>
          </rPr>
          <t>AKRITI AGRAWAL:</t>
        </r>
        <r>
          <rPr>
            <sz val="9"/>
            <color indexed="81"/>
            <rFont val="Tahoma"/>
            <family val="2"/>
          </rPr>
          <t xml:space="preserve">
wrt scheduled energy
</t>
        </r>
      </text>
    </comment>
    <comment ref="O108" authorId="0" shapeId="0">
      <text>
        <r>
          <rPr>
            <b/>
            <sz val="9"/>
            <color indexed="81"/>
            <rFont val="Tahoma"/>
            <family val="2"/>
          </rPr>
          <t>AKRITI AGRAWAL:</t>
        </r>
        <r>
          <rPr>
            <sz val="9"/>
            <color indexed="81"/>
            <rFont val="Tahoma"/>
            <family val="2"/>
          </rPr>
          <t xml:space="preserve">
wrt scheduled energy
</t>
        </r>
      </text>
    </comment>
  </commentList>
</comments>
</file>

<file path=xl/sharedStrings.xml><?xml version="1.0" encoding="utf-8"?>
<sst xmlns="http://schemas.openxmlformats.org/spreadsheetml/2006/main" count="1640" uniqueCount="333">
  <si>
    <t>Sr. No.</t>
  </si>
  <si>
    <t>Name of Generating Stations</t>
  </si>
  <si>
    <t>Effective Energy Charges in (Rs./kwh)</t>
  </si>
  <si>
    <t>Trading Margin</t>
  </si>
  <si>
    <t>(Rs. per kwh)</t>
  </si>
  <si>
    <t>A</t>
  </si>
  <si>
    <t>B</t>
  </si>
  <si>
    <t>C</t>
  </si>
  <si>
    <t>D</t>
  </si>
  <si>
    <t>E=C+D</t>
  </si>
  <si>
    <t>F</t>
  </si>
  <si>
    <t>I</t>
  </si>
  <si>
    <t>J</t>
  </si>
  <si>
    <t>K</t>
  </si>
  <si>
    <t>L</t>
  </si>
  <si>
    <t>Torrent (Indigenous)</t>
  </si>
  <si>
    <t>KAWAS (NAPM)</t>
  </si>
  <si>
    <t>GANDHAR (NAPM)</t>
  </si>
  <si>
    <t>Mauda-I</t>
  </si>
  <si>
    <t>KAWAS (APM)</t>
  </si>
  <si>
    <t>DVC (DTPS)</t>
  </si>
  <si>
    <t>DVC (MTPS)</t>
  </si>
  <si>
    <t>SGTPS -4x210</t>
  </si>
  <si>
    <t>GANDHAR (APM)</t>
  </si>
  <si>
    <t>ATPS (210MW) Chachai</t>
  </si>
  <si>
    <t>SGTPS -1x500</t>
  </si>
  <si>
    <t>BLA</t>
  </si>
  <si>
    <t>KAHALGAON-II</t>
  </si>
  <si>
    <t>SIPAT II</t>
  </si>
  <si>
    <t>SIPAT I</t>
  </si>
  <si>
    <t>VSTPS-III</t>
  </si>
  <si>
    <t>VSTPS-I</t>
  </si>
  <si>
    <t>DVC (CTPS)</t>
  </si>
  <si>
    <t>VSTPS-IV</t>
  </si>
  <si>
    <t>VSTPS-II</t>
  </si>
  <si>
    <t>Rajghat HPS</t>
  </si>
  <si>
    <t>KSTPS</t>
  </si>
  <si>
    <t>KSTPS-III</t>
  </si>
  <si>
    <t>Jhinna HPS</t>
  </si>
  <si>
    <t>Bansagar-III HPS</t>
  </si>
  <si>
    <t>SSP</t>
  </si>
  <si>
    <t>Birsinghpur HPS</t>
  </si>
  <si>
    <t>Bansagar-I HPS</t>
  </si>
  <si>
    <t>Sasan</t>
  </si>
  <si>
    <t>Bansagar-II HPS</t>
  </si>
  <si>
    <t>Pench HPS</t>
  </si>
  <si>
    <t>Gandhi Sagar HPS</t>
  </si>
  <si>
    <t>Bargi HPS</t>
  </si>
  <si>
    <t>Normative fixed cost for URS</t>
  </si>
  <si>
    <t xml:space="preserve">FCA/ MOPA in Rs./kwh </t>
  </si>
  <si>
    <t xml:space="preserve">STPS Sarni </t>
  </si>
  <si>
    <t>URS</t>
  </si>
  <si>
    <t>Effective rate in Rs./kwh</t>
  </si>
  <si>
    <t xml:space="preserve">                    </t>
  </si>
  <si>
    <t>SSTPS Khandwa (Singaji)</t>
  </si>
  <si>
    <t>Cess on Intrastate sales</t>
  </si>
  <si>
    <t>JP Nigrie</t>
  </si>
  <si>
    <t>JP Bina</t>
  </si>
  <si>
    <t xml:space="preserve">Madikhera HPS  </t>
  </si>
  <si>
    <t>ISP &amp; OSP (25:11)</t>
  </si>
  <si>
    <t>STPS Sarni 10 &amp; 11</t>
  </si>
  <si>
    <t>MPPMCL Share (MW)</t>
  </si>
  <si>
    <t>Normative Fixed Cost 
Rs. /kwh</t>
  </si>
  <si>
    <t>Installed Capacity (MW)</t>
  </si>
  <si>
    <t>ISP</t>
  </si>
  <si>
    <t>OSP</t>
  </si>
  <si>
    <t>-</t>
  </si>
  <si>
    <t>Jawahar Sagar (Inter state project)</t>
  </si>
  <si>
    <t>R P sagar (Inter state project)</t>
  </si>
  <si>
    <t>Variable rate at MP periphery in Rs./kwh</t>
  </si>
  <si>
    <t>MB Power</t>
  </si>
  <si>
    <t>S.No.</t>
  </si>
  <si>
    <t>Name of station</t>
  </si>
  <si>
    <t>Capacity</t>
  </si>
  <si>
    <t>Normative availability</t>
  </si>
  <si>
    <t>Aux. Consumption</t>
  </si>
  <si>
    <t xml:space="preserve"> Yearly Normative energy availability or Design energy in case of Hydel</t>
  </si>
  <si>
    <t>Rate</t>
  </si>
  <si>
    <t>Remarks</t>
  </si>
  <si>
    <t>(Rs. Crs)</t>
  </si>
  <si>
    <t>%</t>
  </si>
  <si>
    <t>(MU)</t>
  </si>
  <si>
    <t>Rs/kwh</t>
  </si>
  <si>
    <t>As per MPERC Final Tariff Order Dated 08.05.2015</t>
  </si>
  <si>
    <t>As per MPERC Order dated 22.05.2015</t>
  </si>
  <si>
    <t>As per CERC Order Dated 01.10.2014.</t>
  </si>
  <si>
    <t>As per MPERC Order dated 01.12.2012</t>
  </si>
  <si>
    <t>Cumulative Availibility (MW)</t>
  </si>
  <si>
    <t>Total rate (Fixed &amp; Variable) Rs./ Kwh</t>
  </si>
  <si>
    <t>Ex-bus availibility (MW)</t>
  </si>
  <si>
    <t>Aux %</t>
  </si>
  <si>
    <t>Normative %</t>
  </si>
  <si>
    <t>Normative Availibility</t>
  </si>
  <si>
    <t>Relistic Availibility (MW)</t>
  </si>
  <si>
    <t>Lanco Amarkantak</t>
  </si>
  <si>
    <t>VSTPS-V</t>
  </si>
  <si>
    <t>M</t>
  </si>
  <si>
    <t>Sustenace allownace, Royalty, Clean energy cess etc.</t>
  </si>
  <si>
    <t>Jhabua Power</t>
  </si>
  <si>
    <t>Energy Charges Rate for MOD Purpose Rs./kwh</t>
  </si>
  <si>
    <t>Incentive p.u.</t>
  </si>
  <si>
    <t>Orient Green Power (Biomass)</t>
  </si>
  <si>
    <t>Arya Energy (Biomass)</t>
  </si>
  <si>
    <t>Mauda-II</t>
  </si>
  <si>
    <t>GANDHAR (LNG)</t>
  </si>
  <si>
    <t>KAWAS (LNG)</t>
  </si>
  <si>
    <t>MB Power II</t>
  </si>
  <si>
    <t>Essar Power (5%)</t>
  </si>
  <si>
    <t xml:space="preserve">FCA Rs./kwh </t>
  </si>
  <si>
    <t>Effective Energy Charges (Rs./kwh)</t>
  </si>
  <si>
    <t>All energy figure in Mus</t>
  </si>
  <si>
    <t>Name</t>
  </si>
  <si>
    <t>MW</t>
  </si>
  <si>
    <t>overall PLF as per NTPC</t>
  </si>
  <si>
    <t>Normative energy upto 85% PLF upto FY 17-18</t>
  </si>
  <si>
    <t>Aux (%)</t>
  </si>
  <si>
    <t>NDY</t>
  </si>
  <si>
    <t>Solapur I</t>
  </si>
  <si>
    <t>upto Oct 2017</t>
  </si>
  <si>
    <t>(MW)</t>
  </si>
  <si>
    <t>Effective rate (Rs./kwh)</t>
  </si>
  <si>
    <t>current PLF (Appx)</t>
  </si>
  <si>
    <t>Tentative energy which can be schedule without incentive during the year (MU)</t>
  </si>
  <si>
    <t>SG upto Feb 18</t>
  </si>
  <si>
    <t>Normative gen. upto  Feb 18</t>
  </si>
  <si>
    <t>Normative energy at 85% PLF upto Feb 18</t>
  </si>
  <si>
    <t>BLA I</t>
  </si>
  <si>
    <t>BLA II</t>
  </si>
  <si>
    <t>KAWAS (Liquid)</t>
  </si>
  <si>
    <t>Rihand I (NR)</t>
  </si>
  <si>
    <t>Rihand II (NR)</t>
  </si>
  <si>
    <t>Rihand III (NR)</t>
  </si>
  <si>
    <t>Singrauli (NR)</t>
  </si>
  <si>
    <t>Unchahar III (NR)</t>
  </si>
  <si>
    <t>Unchahar I (NR)</t>
  </si>
  <si>
    <t>Unchahar II (NR)</t>
  </si>
  <si>
    <t>NAPS (NR)</t>
  </si>
  <si>
    <t>Rampur HEP (NR)</t>
  </si>
  <si>
    <t>Nathpa-Jhakri (NR)</t>
  </si>
  <si>
    <t>Tehri I (NR)</t>
  </si>
  <si>
    <t>Dulhasti (NR)</t>
  </si>
  <si>
    <t>Parbati III (NR)</t>
  </si>
  <si>
    <t>Dhauliganga (NR)</t>
  </si>
  <si>
    <t>Chamera II (NR)</t>
  </si>
  <si>
    <t>Sewa II (NR)</t>
  </si>
  <si>
    <t>URI II (NR)</t>
  </si>
  <si>
    <t>Indira Gandhi STPS (Jhajjar) (NR)</t>
  </si>
  <si>
    <t>Koteshwar (NR)</t>
  </si>
  <si>
    <t>Koldam (NR)</t>
  </si>
  <si>
    <t>Chamera III (NR)</t>
  </si>
  <si>
    <t>National Capital Thermal Power Station Dadri II (NR)</t>
  </si>
  <si>
    <t>Singrauli Small Hydro (NR)</t>
  </si>
  <si>
    <t>RAPS C 5 &amp; 6 (NR)</t>
  </si>
  <si>
    <t>Unchahar IV (NR)</t>
  </si>
  <si>
    <t>Auraiya  APM (NR)</t>
  </si>
  <si>
    <t>Auraiya  Liquid (NR)</t>
  </si>
  <si>
    <t>Auraiya  LNG (NR)</t>
  </si>
  <si>
    <t>Dadri APM (NR)</t>
  </si>
  <si>
    <t>Dadri Liquid (NR)</t>
  </si>
  <si>
    <t>Dadri LNG (NR)</t>
  </si>
  <si>
    <t>Anta APM (NR)</t>
  </si>
  <si>
    <t>Anta LNG (NR)</t>
  </si>
  <si>
    <t>Anta Liquid (NR)</t>
  </si>
  <si>
    <t>FCA  is shown on the basis of latest FCA rate available as per bills</t>
  </si>
  <si>
    <t>Kishanganga (NR)</t>
  </si>
  <si>
    <t>Details of power purchase cost per unit for MOD  on the basis of rates available</t>
  </si>
  <si>
    <t>Calculation for Balance  Incentive Energy</t>
  </si>
  <si>
    <t>SSTPS Khandwa (Singaji) # 3 &amp; 4</t>
  </si>
  <si>
    <t>Meja (NR)</t>
  </si>
  <si>
    <t>Gadarwara</t>
  </si>
  <si>
    <t>NTPC vide its letter no. NTPC/WR/I-HQ/Comml/Solapur dated 08.07.2019 has indicated that ECR for Gadarwara for July 19 would be around  Rs. 3.50 p.u. The same has been considered for the purpose of MOD</t>
  </si>
  <si>
    <t>NTPC vide its letter no. WR/II/Comml/Gadarwara dated 10.07.2019 has indicated that ECR for Gadarwara for July 19 would be around  Rs. 3.388 p.u. The same has been considered for the purpose of MOD</t>
  </si>
  <si>
    <t>Lara</t>
  </si>
  <si>
    <t>NTPC vide its letter no. WR-II/Comml/gadarwara dated 28.11.2019 has indicated that ECR of Gadarwara for Dec2019 would range between Rs. 3.05 / kwh to Rs. 3.10/kwh</t>
  </si>
  <si>
    <t>No. of days till current month</t>
  </si>
  <si>
    <t>Khargone</t>
  </si>
  <si>
    <t>NTPC vide its letter no. 01..CD..237 dated 02.04.2020 has declared COD of Khargone Unit II of 660 MW from 04.04.2020</t>
  </si>
  <si>
    <t>Dadri  Comm LNG (NR)</t>
  </si>
  <si>
    <t>Auraiya  CLNG (NR)</t>
  </si>
  <si>
    <t>Arya Energy Limited (Biomass)</t>
  </si>
  <si>
    <t>Rates of ATPS Chachai and SGTPS (4*210) MW have been modified as per U.O. note no. 561 adted 15.07.2020 of CGM (PM)</t>
  </si>
  <si>
    <t>GANDHAR (CLNG)</t>
  </si>
  <si>
    <t>KAWAS (CLNG)</t>
  </si>
  <si>
    <t>Rates of Kawas CLNG and Gandhar CLNG have been taken as per NTPC letter no. NTPC/WR-1HQ/COMML/2020 dated 01.07.2020</t>
  </si>
  <si>
    <t>DVC transmission losses 0.024 p.u</t>
  </si>
  <si>
    <t>ctps</t>
  </si>
  <si>
    <t>dtps</t>
  </si>
  <si>
    <t>DVC (CTPS) (STOA LOI)</t>
  </si>
  <si>
    <t>DVC (DTPS) (STOA LOI)</t>
  </si>
  <si>
    <t>H</t>
  </si>
  <si>
    <t>G=E/((100%-F))</t>
  </si>
  <si>
    <t>Variable cost incl.  losses</t>
  </si>
  <si>
    <t>G=E/(100%-F)</t>
  </si>
  <si>
    <t>Transmission Losses beyond MP Periphery</t>
  </si>
  <si>
    <t>NLDC issued transmission losses for the period from ____ on all India basis instead of injection and withdrawl losses in respect of each generating station and states.</t>
  </si>
  <si>
    <t>Transmission Losses beyond MP periphery (%)</t>
  </si>
  <si>
    <t>ATPS (210MW) Chachai (with incentive peak)</t>
  </si>
  <si>
    <t>KSTPS (with incentive peak)</t>
  </si>
  <si>
    <t>KSTPS-III (with incentive peak)</t>
  </si>
  <si>
    <t>SGTPS -1x500 (with incentive peak)</t>
  </si>
  <si>
    <t>SIPAT I (with incentive peak)</t>
  </si>
  <si>
    <t>SIPAT II (with incentive peak)</t>
  </si>
  <si>
    <t>STPS Sarni 10 &amp; 11 (with incentive peak)</t>
  </si>
  <si>
    <t>VSTPS-II (with incentive peak)</t>
  </si>
  <si>
    <t>VSTPS-III (with incentive peak)</t>
  </si>
  <si>
    <t>VSTPS-IV (with incentive peak)</t>
  </si>
  <si>
    <t>VSTPS-V (with incentive peak)</t>
  </si>
  <si>
    <t>Rihand II (NR) (with incentive peak)</t>
  </si>
  <si>
    <t>Rihand III (NR) (with incentive peak)</t>
  </si>
  <si>
    <t>ATPS (210MW) Chachai (with incentive off-peak)</t>
  </si>
  <si>
    <t>KSTPS-III (with incentive off-peak)</t>
  </si>
  <si>
    <t>SGTPS -1x500 (with incentive off-peak)</t>
  </si>
  <si>
    <t>SIPAT I (with incentive off-peak)</t>
  </si>
  <si>
    <t>SIPAT II (with incentive off-peak)</t>
  </si>
  <si>
    <t>STPS Sarni 10 &amp; 11 (with incentive off-peak)</t>
  </si>
  <si>
    <t>VSTPS-II (with incentive off-peak)</t>
  </si>
  <si>
    <t>VSTPS-III (with incentive off-peak)</t>
  </si>
  <si>
    <t>VSTPS-IV (with incentive off-peak)</t>
  </si>
  <si>
    <t>VSTPS-V (with incentive off-peak)</t>
  </si>
  <si>
    <t>Rihand II (NR) (with incentive off-peak)</t>
  </si>
  <si>
    <t>Rihand III (NR) (with incentive off-peak)</t>
  </si>
  <si>
    <t>KSTPS (with incentive off-peak)</t>
  </si>
  <si>
    <t>Normative Gross generation</t>
  </si>
  <si>
    <t>Normative Auxiliary Consumption</t>
  </si>
  <si>
    <t>Cess on Auxiliary Consumption</t>
  </si>
  <si>
    <t>ED on Auxiliary Consumption</t>
  </si>
  <si>
    <t>Cess rate on Auxiliary Consumption</t>
  </si>
  <si>
    <t>ED Rate on Auxiliary Consumption</t>
  </si>
  <si>
    <t>Total amount towards Aux</t>
  </si>
  <si>
    <t>Rate w r t scheduled energy</t>
  </si>
  <si>
    <t>Arya Energy Limited (Biomass) and Orient Green Power (Biomass) have been included in MOD as per MPERC order   dated 30.11.2016</t>
  </si>
  <si>
    <t>Transmission losses have been taken as given in NLDC website.</t>
  </si>
  <si>
    <t>MPPMCL has surrendered 156 MW from NTPC Mouda I and 212 MW from NTPC Mouda II respectively w.e.f. 20.03.2021</t>
  </si>
  <si>
    <t>Above 8000 MW partially scheduled</t>
  </si>
  <si>
    <t>ED &amp; Cess on Auxiliary Consumption</t>
  </si>
  <si>
    <t>N</t>
  </si>
  <si>
    <t>O=sum(G:N)</t>
  </si>
  <si>
    <t>N=sum(H:L)</t>
  </si>
  <si>
    <t>ED &amp; Cess on Auxiliary Consumption has been considered for the purpose of MOD as per letter no. F-3-22/2013/13(Vol. II) dated 20.05.2021 of Energy Deptt, GoMP.</t>
  </si>
  <si>
    <t xml:space="preserve">Cess on Intrastate sales </t>
  </si>
  <si>
    <t>J=sum(G:H)</t>
  </si>
  <si>
    <t xml:space="preserve">Rate of NTPC Kawas (NAPM &amp; CLNG ) and Gandhar (NAPM and CLNG) have been taken as per NTPC letter no. NTPC/WR-1HQ/COMML/AGM/2021/09 Rev dated 09.09.2021 </t>
  </si>
  <si>
    <t>Anta CLNG (NR)</t>
  </si>
  <si>
    <t>Rate of NTPC MB Power  has been taken as per MB Power  letter no. MBPMPL/2021-22/MPPMLC/2422 dated 27.09.2021</t>
  </si>
  <si>
    <t>Transmission charges</t>
  </si>
  <si>
    <t>Tanda II</t>
  </si>
  <si>
    <t>M=sum(G:L)</t>
  </si>
  <si>
    <t>Transmission charges for Tanda II has been taken as per methodology of MOD as paid to UPPTCL</t>
  </si>
  <si>
    <t>K=sum(G:J)</t>
  </si>
  <si>
    <t>Rihand I (NR) (with incentive off-peak)</t>
  </si>
  <si>
    <t>VSTPS-I (with incentive off-peak)</t>
  </si>
  <si>
    <t>VSTPS-I (with incentive peak)</t>
  </si>
  <si>
    <t>Rihand I (NR) (with incentive peak)</t>
  </si>
  <si>
    <t>M/s Torrent vide its letter no. 056 dated 30.10.2021 has coveyed its ECR for Nov 2021 as Rs. 7.452 per unit.</t>
  </si>
  <si>
    <t>DVC is supplying power under STOA arrangement  DSTPS till litigation is finalised and PPA of CTPS has been terminated w.e.f. 2/11/2021</t>
  </si>
  <si>
    <t>M/s Torrent vide its letter no. 067 dated 03.01.2022 has coveyed its ECR for Jan 2022 as Rs. 8.472 per unit.</t>
  </si>
  <si>
    <t xml:space="preserve">Generation from Arya Energy and Orient Biomass Generators have been removed from Merit Order despatch as such plants have been given must run status in accordance with the Procedure for Implementation of MPERC (Co-generation and generation  of electricity from Renewable sources of Energy), (revision II), Regulations -2021, </t>
  </si>
  <si>
    <t>M/s Torrent vide its letter no. 081 dated 28.02.2022 has coveyed its ECR for Mar 2022 as Rs. 8.488 per unit.</t>
  </si>
  <si>
    <t>MPPMCL has surrendered 295.88 MW from NTPC Solapur for the period from 01.04.2022 to 15.06.2022  vide  letter dated 25.03.22 of MoP .</t>
  </si>
  <si>
    <t>MPPMCL has surrendered 330 MW from NTPC Khargone  till  June 22 vide letter dated 11.03.2022 of MoP.</t>
  </si>
  <si>
    <t>Bill of Jhabua Power Ltd has not been received till date, therefore previous month ECR has been taken for the purpose of MOD</t>
  </si>
  <si>
    <t>Cumulative capacity (MW)</t>
  </si>
  <si>
    <t>MPPMCL has surrendered power from NTPC Kawas and Gandhar Gas based stations w.e.f. 02.06.2022 as stated in NTPC letter dated 13.06.2022</t>
  </si>
  <si>
    <t>MPPMCL initiated the process of terminating PPA of NTPC Kawas and Gandhar Gas based stations as per vide GoMP letter dated 02.12.2021. NTPC has relinquished power from  Kawas and Gandhar Gas based stations w.e.f. 02.06.2022 as stated in NTPC letter dated 13.06.2022</t>
  </si>
  <si>
    <t>ECR of ISP and OSP is calculated by taking the individual rates in the ratio of 25:11 respectively whereas power purchase per unit cost for ISP is Rs 3.58 &amp; for OSP is Rs. 4.64  including fixed charges.</t>
  </si>
  <si>
    <t>M/s Torrent vide its letter no. 007 dated 02.07.2022 has coveyed its ECR for July 2022 as Rs. 11.936 per unit.</t>
  </si>
  <si>
    <t>Details of power purchase cost per unit for MOD  on the basis of rates available from bills of July 2022</t>
  </si>
  <si>
    <t>Difference</t>
  </si>
  <si>
    <t>% difference</t>
  </si>
  <si>
    <t>Energy Charges Rate for June 2022</t>
  </si>
  <si>
    <t>Below 8000 MW normally scheduled round the year</t>
  </si>
  <si>
    <t>Lanco Amarkantak (Non - FSA)</t>
  </si>
  <si>
    <t>Lanco Amarkantak (FSA)</t>
  </si>
  <si>
    <t>Lanco Amarkantak (Imported Coal)</t>
  </si>
  <si>
    <t xml:space="preserve">As directed in case of Lanco Amarkantak, the energy charge  rate of FSA coal, Non-FSA coal and Imported coal have been  taken separately in the MOD for the purpose of scheduling. </t>
  </si>
  <si>
    <t>Details of power purchase cost per unit for MOD  on the basis of rates available from bills of Mar 2023</t>
  </si>
  <si>
    <t>Details of power purchase cost per unit of Thermal and Gas  Power  stations for MOD  for the month of Mar 2023</t>
  </si>
  <si>
    <t>Variable rate at MP periphery in Rs./kwh (excl biomass)</t>
  </si>
  <si>
    <t>Variable rate at MP periphery in Rs./kwh (incl  biomass)</t>
  </si>
  <si>
    <t xml:space="preserve">BLA </t>
  </si>
  <si>
    <t xml:space="preserve"> </t>
  </si>
  <si>
    <t>NTPC Kawas and Gandhar have been considered in MOD for power from unallocated share.</t>
  </si>
  <si>
    <t>Mahan Energen Ltd. (5%)</t>
  </si>
  <si>
    <t>FC per MW</t>
  </si>
  <si>
    <t>FGD / Change in Law</t>
  </si>
  <si>
    <t>KAHALGAON-II (with incentive off-peak)</t>
  </si>
  <si>
    <t>Lara (with incentive off-peak)</t>
  </si>
  <si>
    <t>Singrauli (NR) (with incentive off-peak)</t>
  </si>
  <si>
    <t>Tanda II (with incentive off-peak)</t>
  </si>
  <si>
    <t>Unchahar IV (NR) (with incentive off-peak)</t>
  </si>
  <si>
    <t>KAHALGAON-II (with incentive peak)</t>
  </si>
  <si>
    <t>Lara (with incentive peak)</t>
  </si>
  <si>
    <t>Singrauli (NR) (with incentive peak)</t>
  </si>
  <si>
    <t>Tanda II (with incentive peak)</t>
  </si>
  <si>
    <t>Unchahar IV (NR) (with incentive peak)</t>
  </si>
  <si>
    <t>Ghatampur Thermal Power Station (NUPPL)</t>
  </si>
  <si>
    <t>SKS Power Generation (Medium Term)</t>
  </si>
  <si>
    <t>RKM Powergen  (IB Field) (Medium Term)</t>
  </si>
  <si>
    <t>RKM Powergen (Talcher Field) (Medium Term)</t>
  </si>
  <si>
    <t>Jindal India Thermal Power (Medium Term)</t>
  </si>
  <si>
    <t>Khurja STPP</t>
  </si>
  <si>
    <t xml:space="preserve"> Load Factor for MP (%)</t>
  </si>
  <si>
    <t>Unchahar I (NR) (with incentive off-peak)</t>
  </si>
  <si>
    <t>Unchahar I (NR) (with incentive peak)</t>
  </si>
  <si>
    <t>Korba Power Ltd. (Non - FSA)</t>
  </si>
  <si>
    <t>Korba Power Ltd. (Imported Coal)</t>
  </si>
  <si>
    <t>Korba Power Ltd. (FSA)</t>
  </si>
  <si>
    <t>Lanco Amarkantak has been renamed as Korba Power Ltd.</t>
  </si>
  <si>
    <t>Fixed Cost (F.Y. 25-26)</t>
  </si>
  <si>
    <t>% Change</t>
  </si>
  <si>
    <t>Jindal Power Limited (Medium Term)</t>
  </si>
  <si>
    <t>TRN Energy Pvt. Ltd. (Medium Term)</t>
  </si>
  <si>
    <t>M/s Torrent vide its letter no. 060 dated 06.01.2026 has coveyed its ECR for Jan 2026 as Rs. 8.423 per unit and the same has been considered for the purpose of MOD .</t>
  </si>
  <si>
    <t>Normative energy upto 85% PLF for FY 2025-26</t>
  </si>
  <si>
    <t>M/s Torrent vide its letter no. 044 dated 07.10.2025  has coveyed its ECR forFeb 2026 as Rs. 8.574 per unit and th esame has been considered for the purpose of MOD</t>
  </si>
  <si>
    <t>Remaining energy which can be taken without incentive appx.</t>
  </si>
  <si>
    <t xml:space="preserve">SG upto Feb 2026 </t>
  </si>
  <si>
    <t xml:space="preserve">Gross gen. upto Feb  26 </t>
  </si>
  <si>
    <t>Normative energy at 85% PLF upto Feb 26</t>
  </si>
  <si>
    <t>All energy figure in MUs</t>
  </si>
  <si>
    <t>Difference (Rs. / kwh)</t>
  </si>
  <si>
    <t>Details of power purchase cost per unit for MOD  on the basis of rates available from bills of March 2026</t>
  </si>
  <si>
    <t>Details of URS power purchase cost per unit for MOD  for the month of March 2026</t>
  </si>
  <si>
    <t>Details of power purchase cost per unit of Thermal and Gas  Power  stations for MOD  for the month of March 2026</t>
  </si>
  <si>
    <t>Details of power purchase cost per unit of Hydel Power Stations  for MOD  on the basis of rates available from bills of  March 2026</t>
  </si>
  <si>
    <t>Details of power purchase cost from high cost (ECR &gt; Rs. 5) stations on the basis of rates available from bills of March 2026</t>
  </si>
  <si>
    <t>10.04.2026</t>
  </si>
  <si>
    <t>Details of power purchase cost per unit of Hydel Power Stations for MOD  on the basis of rates available from bills of March 2026</t>
  </si>
  <si>
    <t>Details of power purchase cost per unit for high cost (ECR &gt; Rs. 5) stations  on the basis of rates available from bills of March 2026</t>
  </si>
  <si>
    <t>Details showing comparison of efective rates including and excluding Biomass at MP periphery  for the month of March 2026</t>
  </si>
  <si>
    <t>ECR of ISP and OSP is calculated by taking the individual rates in the ratio of 25:11 respectively whereas power purchase per unit cost for ISP is Rs 3.18 &amp; for OSP is Rs.4.50 including fixed charges.</t>
  </si>
  <si>
    <t xml:space="preserve">156 MW from NTPC Mouda I and 212 MW from NTPC Mouda II has been reallocated to MPPMCL w.e.f. 31.03.2026 </t>
  </si>
  <si>
    <t>As  bill of the current month is not received from JP Bina till the date of MOD, for the purpose of MOD latest available rate is considered.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</si>
</sst>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0.00_);_(* \(#,##0.00\);_(* &quot;-&quot;??_);_(@_)"/>
    <numFmt numFmtId="164" formatCode="_(* #,##0.00_);_(* \(#,##0.00\);_(* &quot;-&quot;??_);_(@_)"/>
    <numFmt numFmtId="165" formatCode="0.000"/>
    <numFmt numFmtId="166" formatCode="0.0000_)"/>
  </numFmts>
  <fonts count="26" x14ac:knownFonts="1">
    <font>
      <sz val="11"/>
      <color theme="1"/>
      <name val="Calibri"/>
      <family val="2"/>
      <scheme val="minor"/>
    </font>
    <font>
      <sz val="10"/>
      <color theme="1"/>
      <name val="Times New Roman"/>
      <family val="2"/>
    </font>
    <font>
      <sz val="10"/>
      <color theme="1"/>
      <name val="Times New Roman"/>
      <family val="2"/>
    </font>
    <font>
      <sz val="10"/>
      <color theme="1"/>
      <name val="Times New Roman"/>
      <family val="2"/>
    </font>
    <font>
      <sz val="11"/>
      <color theme="1"/>
      <name val="Calibri"/>
      <family val="2"/>
      <scheme val="minor"/>
    </font>
    <font>
      <b/>
      <sz val="10"/>
      <color theme="1"/>
      <name val="Calibri"/>
      <family val="2"/>
      <scheme val="minor"/>
    </font>
    <font>
      <sz val="10"/>
      <color theme="1"/>
      <name val="Calibri"/>
      <family val="2"/>
      <scheme val="minor"/>
    </font>
    <font>
      <sz val="10"/>
      <name val="Arial"/>
      <family val="2"/>
    </font>
    <font>
      <b/>
      <sz val="11"/>
      <color theme="1"/>
      <name val="Calibri"/>
      <family val="2"/>
      <scheme val="minor"/>
    </font>
    <font>
      <sz val="11"/>
      <color theme="1"/>
      <name val="Calibri"/>
      <family val="2"/>
    </font>
    <font>
      <b/>
      <sz val="11"/>
      <color rgb="FF000000"/>
      <name val="Calibri"/>
      <family val="2"/>
    </font>
    <font>
      <sz val="12"/>
      <color theme="1"/>
      <name val="Calibri"/>
      <family val="2"/>
      <scheme val="minor"/>
    </font>
    <font>
      <sz val="10"/>
      <name val="Calibri"/>
      <family val="2"/>
      <scheme val="minor"/>
    </font>
    <font>
      <b/>
      <sz val="11"/>
      <color rgb="FF0000FF"/>
      <name val="Calibri"/>
      <family val="2"/>
      <scheme val="minor"/>
    </font>
    <font>
      <sz val="10"/>
      <name val="Arial"/>
      <family val="2"/>
    </font>
    <font>
      <b/>
      <sz val="10"/>
      <color theme="1"/>
      <name val="Times New Roman"/>
      <family val="1"/>
    </font>
    <font>
      <sz val="9"/>
      <name val="Arial"/>
      <family val="2"/>
    </font>
    <font>
      <b/>
      <sz val="11"/>
      <color theme="1"/>
      <name val="Times New Roman"/>
      <family val="1"/>
    </font>
    <font>
      <sz val="11"/>
      <color theme="1"/>
      <name val="Times New Roman"/>
      <family val="2"/>
    </font>
    <font>
      <sz val="11"/>
      <name val="Arial"/>
      <family val="2"/>
    </font>
    <font>
      <sz val="11"/>
      <name val="Calibri"/>
      <family val="2"/>
      <scheme val="minor"/>
    </font>
    <font>
      <b/>
      <sz val="12"/>
      <color theme="1"/>
      <name val="Times New Roman"/>
      <family val="1"/>
    </font>
    <font>
      <b/>
      <sz val="10"/>
      <name val="Calibri"/>
      <family val="2"/>
      <scheme val="minor"/>
    </font>
    <font>
      <sz val="9"/>
      <color indexed="81"/>
      <name val="Tahoma"/>
      <family val="2"/>
    </font>
    <font>
      <b/>
      <sz val="9"/>
      <color indexed="81"/>
      <name val="Tahoma"/>
      <family val="2"/>
    </font>
    <font>
      <sz val="11"/>
      <color rgb="FFFF0000"/>
      <name val="Calibri"/>
      <family val="2"/>
      <scheme val="minor"/>
    </font>
  </fonts>
  <fills count="14">
    <fill>
      <patternFill patternType="none"/>
    </fill>
    <fill>
      <patternFill patternType="gray125"/>
    </fill>
    <fill>
      <patternFill patternType="solid">
        <fgColor rgb="FFFFFF00"/>
        <bgColor indexed="64"/>
      </patternFill>
    </fill>
    <fill>
      <patternFill patternType="solid">
        <fgColor theme="3" tint="0.59999389629810485"/>
        <bgColor indexed="64"/>
      </patternFill>
    </fill>
    <fill>
      <patternFill patternType="solid">
        <fgColor rgb="FF92D050"/>
        <bgColor indexed="64"/>
      </patternFill>
    </fill>
    <fill>
      <patternFill patternType="solid">
        <fgColor rgb="FFFF0000"/>
        <bgColor indexed="64"/>
      </patternFill>
    </fill>
    <fill>
      <patternFill patternType="solid">
        <fgColor theme="5" tint="0.39997558519241921"/>
        <bgColor indexed="64"/>
      </patternFill>
    </fill>
    <fill>
      <patternFill patternType="solid">
        <fgColor theme="4" tint="0.39997558519241921"/>
        <bgColor indexed="64"/>
      </patternFill>
    </fill>
    <fill>
      <patternFill patternType="solid">
        <fgColor theme="2" tint="-9.9978637043366805E-2"/>
        <bgColor indexed="64"/>
      </patternFill>
    </fill>
    <fill>
      <patternFill patternType="solid">
        <fgColor theme="8" tint="-0.249977111117893"/>
        <bgColor indexed="64"/>
      </patternFill>
    </fill>
    <fill>
      <patternFill patternType="solid">
        <fgColor theme="7" tint="0.39997558519241921"/>
        <bgColor indexed="64"/>
      </patternFill>
    </fill>
    <fill>
      <patternFill patternType="solid">
        <fgColor rgb="FF00B0F0"/>
        <bgColor indexed="64"/>
      </patternFill>
    </fill>
    <fill>
      <patternFill patternType="solid">
        <fgColor rgb="FF660033"/>
        <bgColor indexed="64"/>
      </patternFill>
    </fill>
    <fill>
      <patternFill patternType="solid">
        <fgColor rgb="FFCC330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s>
  <cellStyleXfs count="18">
    <xf numFmtId="0" fontId="0" fillId="0" borderId="0"/>
    <xf numFmtId="9" fontId="4" fillId="0" borderId="0" applyFont="0" applyFill="0" applyBorder="0" applyAlignment="0" applyProtection="0"/>
    <xf numFmtId="0" fontId="4" fillId="0" borderId="0" applyFont="0" applyFill="0" applyBorder="0" applyAlignment="0" applyProtection="0"/>
    <xf numFmtId="164" fontId="7" fillId="0" borderId="0" applyFont="0" applyFill="0" applyBorder="0" applyAlignment="0" applyProtection="0"/>
    <xf numFmtId="43" fontId="4" fillId="0" borderId="0" applyFont="0" applyFill="0" applyBorder="0" applyAlignment="0" applyProtection="0"/>
    <xf numFmtId="0" fontId="7" fillId="0" borderId="0"/>
    <xf numFmtId="0" fontId="7" fillId="0" borderId="0"/>
    <xf numFmtId="0" fontId="4" fillId="0" borderId="0"/>
    <xf numFmtId="0" fontId="7" fillId="0" borderId="0"/>
    <xf numFmtId="43" fontId="4" fillId="0" borderId="0" applyFont="0" applyFill="0" applyBorder="0" applyAlignment="0" applyProtection="0"/>
    <xf numFmtId="0" fontId="3" fillId="0" borderId="0"/>
    <xf numFmtId="9" fontId="3" fillId="0" borderId="0" applyFont="0" applyFill="0" applyBorder="0" applyAlignment="0" applyProtection="0"/>
    <xf numFmtId="0" fontId="14" fillId="0" borderId="0"/>
    <xf numFmtId="0" fontId="14" fillId="0" borderId="0"/>
    <xf numFmtId="0" fontId="2" fillId="0" borderId="0"/>
    <xf numFmtId="9" fontId="2" fillId="0" borderId="0" applyFont="0" applyFill="0" applyBorder="0" applyAlignment="0" applyProtection="0"/>
    <xf numFmtId="0" fontId="7" fillId="0" borderId="0"/>
    <xf numFmtId="0" fontId="7" fillId="0" borderId="0"/>
  </cellStyleXfs>
  <cellXfs count="272">
    <xf numFmtId="0" fontId="0" fillId="0" borderId="0" xfId="0"/>
    <xf numFmtId="165" fontId="6" fillId="0" borderId="1" xfId="0" applyNumberFormat="1" applyFont="1" applyFill="1" applyBorder="1" applyAlignment="1">
      <alignment horizontal="center" vertical="top"/>
    </xf>
    <xf numFmtId="0" fontId="6" fillId="0" borderId="1" xfId="0" applyFont="1" applyFill="1" applyBorder="1" applyAlignment="1">
      <alignment horizontal="center" vertical="top"/>
    </xf>
    <xf numFmtId="0" fontId="6" fillId="0" borderId="0" xfId="0" applyFont="1" applyFill="1" applyAlignment="1">
      <alignment vertical="top"/>
    </xf>
    <xf numFmtId="0" fontId="6" fillId="0" borderId="1" xfId="0" applyFont="1" applyFill="1" applyBorder="1" applyAlignment="1">
      <alignment vertical="top"/>
    </xf>
    <xf numFmtId="2" fontId="6" fillId="0" borderId="1" xfId="0" applyNumberFormat="1" applyFont="1" applyFill="1" applyBorder="1" applyAlignment="1">
      <alignment horizontal="center" vertical="top"/>
    </xf>
    <xf numFmtId="0" fontId="6" fillId="0" borderId="0" xfId="0" applyFont="1" applyFill="1" applyAlignment="1">
      <alignment horizontal="center" vertical="top"/>
    </xf>
    <xf numFmtId="10" fontId="6" fillId="0" borderId="1" xfId="1" applyNumberFormat="1" applyFont="1" applyFill="1" applyBorder="1" applyAlignment="1">
      <alignment horizontal="center" vertical="top"/>
    </xf>
    <xf numFmtId="0" fontId="6" fillId="0" borderId="1" xfId="0" applyFont="1" applyFill="1" applyBorder="1" applyAlignment="1" applyProtection="1">
      <alignment vertical="top"/>
    </xf>
    <xf numFmtId="165" fontId="6" fillId="0" borderId="1" xfId="0" applyNumberFormat="1" applyFont="1" applyFill="1" applyBorder="1" applyAlignment="1" applyProtection="1">
      <alignment horizontal="center" vertical="top"/>
    </xf>
    <xf numFmtId="0" fontId="0" fillId="0" borderId="0" xfId="0" applyFill="1" applyProtection="1">
      <protection locked="0"/>
    </xf>
    <xf numFmtId="0" fontId="6" fillId="0" borderId="1" xfId="0" applyFont="1" applyFill="1" applyBorder="1" applyAlignment="1" applyProtection="1">
      <alignment horizontal="center" vertical="top"/>
    </xf>
    <xf numFmtId="0" fontId="6" fillId="0" borderId="0" xfId="0" applyFont="1" applyFill="1" applyBorder="1" applyAlignment="1">
      <alignment horizontal="center" vertical="top"/>
    </xf>
    <xf numFmtId="0" fontId="6" fillId="0" borderId="1" xfId="0" applyFont="1" applyFill="1" applyBorder="1" applyAlignment="1">
      <alignment vertical="top" wrapText="1"/>
    </xf>
    <xf numFmtId="2" fontId="9" fillId="0" borderId="1" xfId="0" applyNumberFormat="1" applyFont="1" applyFill="1" applyBorder="1" applyAlignment="1">
      <alignment horizontal="center" vertical="top"/>
    </xf>
    <xf numFmtId="165" fontId="6" fillId="0" borderId="1" xfId="0" quotePrefix="1" applyNumberFormat="1" applyFont="1" applyFill="1" applyBorder="1" applyAlignment="1">
      <alignment horizontal="center" vertical="top"/>
    </xf>
    <xf numFmtId="0" fontId="0" fillId="0" borderId="0" xfId="0" applyFill="1"/>
    <xf numFmtId="0" fontId="10" fillId="0" borderId="1" xfId="0" applyFont="1" applyFill="1" applyBorder="1" applyAlignment="1">
      <alignment horizontal="center" vertical="top"/>
    </xf>
    <xf numFmtId="0" fontId="10" fillId="0" borderId="1" xfId="0" applyFont="1" applyFill="1" applyBorder="1" applyAlignment="1">
      <alignment horizontal="center" vertical="top" wrapText="1"/>
    </xf>
    <xf numFmtId="0" fontId="10" fillId="0" borderId="6" xfId="0" applyFont="1" applyFill="1" applyBorder="1" applyAlignment="1">
      <alignment horizontal="center" vertical="top" wrapText="1"/>
    </xf>
    <xf numFmtId="0" fontId="9" fillId="0" borderId="1" xfId="0" applyFont="1" applyFill="1" applyBorder="1" applyAlignment="1">
      <alignment vertical="top"/>
    </xf>
    <xf numFmtId="0" fontId="9" fillId="0" borderId="1" xfId="0" applyFont="1" applyFill="1" applyBorder="1" applyAlignment="1">
      <alignment horizontal="center" vertical="top" wrapText="1"/>
    </xf>
    <xf numFmtId="0" fontId="9" fillId="0" borderId="1" xfId="0" applyFont="1" applyFill="1" applyBorder="1" applyAlignment="1">
      <alignment horizontal="center" vertical="top"/>
    </xf>
    <xf numFmtId="165" fontId="9" fillId="0" borderId="1" xfId="0" applyNumberFormat="1" applyFont="1" applyFill="1" applyBorder="1" applyAlignment="1">
      <alignment horizontal="center" vertical="top"/>
    </xf>
    <xf numFmtId="2" fontId="9" fillId="0" borderId="1" xfId="0" applyNumberFormat="1" applyFont="1" applyFill="1" applyBorder="1" applyAlignment="1">
      <alignment horizontal="center"/>
    </xf>
    <xf numFmtId="0" fontId="0" fillId="0" borderId="1" xfId="0" applyFill="1" applyBorder="1"/>
    <xf numFmtId="2" fontId="9" fillId="0" borderId="1" xfId="0" applyNumberFormat="1" applyFont="1" applyFill="1" applyBorder="1" applyAlignment="1">
      <alignment horizontal="right" vertical="top" indent="2"/>
    </xf>
    <xf numFmtId="0" fontId="6" fillId="2" borderId="0" xfId="0" applyFont="1" applyFill="1" applyAlignment="1">
      <alignment vertical="top"/>
    </xf>
    <xf numFmtId="0" fontId="5" fillId="0" borderId="1" xfId="0" applyFont="1" applyFill="1" applyBorder="1" applyAlignment="1" applyProtection="1">
      <alignment horizontal="center" vertical="top" wrapText="1"/>
    </xf>
    <xf numFmtId="0" fontId="5" fillId="0" borderId="1" xfId="0" applyFont="1" applyFill="1" applyBorder="1" applyAlignment="1" applyProtection="1">
      <alignment horizontal="center" vertical="top" wrapText="1"/>
    </xf>
    <xf numFmtId="2" fontId="11" fillId="0" borderId="1" xfId="0" applyNumberFormat="1" applyFont="1" applyFill="1" applyBorder="1" applyAlignment="1" applyProtection="1">
      <alignment horizontal="center" vertical="center"/>
    </xf>
    <xf numFmtId="2" fontId="0" fillId="0" borderId="1" xfId="0" applyNumberFormat="1" applyFill="1" applyBorder="1"/>
    <xf numFmtId="2" fontId="0" fillId="0" borderId="1" xfId="1" applyNumberFormat="1" applyFont="1" applyFill="1" applyBorder="1"/>
    <xf numFmtId="9" fontId="0" fillId="0" borderId="1" xfId="1" applyFont="1" applyFill="1" applyBorder="1"/>
    <xf numFmtId="164" fontId="0" fillId="0" borderId="1" xfId="0" applyNumberFormat="1" applyFill="1" applyBorder="1"/>
    <xf numFmtId="0" fontId="0" fillId="0" borderId="1" xfId="0" applyFill="1" applyBorder="1" applyAlignment="1">
      <alignment horizontal="center"/>
    </xf>
    <xf numFmtId="165" fontId="0" fillId="0" borderId="1" xfId="0" applyNumberFormat="1" applyFill="1" applyBorder="1" applyAlignment="1">
      <alignment horizontal="center"/>
    </xf>
    <xf numFmtId="0" fontId="5" fillId="0" borderId="1" xfId="0" applyFont="1" applyFill="1" applyBorder="1" applyAlignment="1">
      <alignment vertical="top" wrapText="1"/>
    </xf>
    <xf numFmtId="0" fontId="6" fillId="0" borderId="0" xfId="0" applyFont="1" applyFill="1" applyBorder="1" applyAlignment="1">
      <alignment vertical="top"/>
    </xf>
    <xf numFmtId="2" fontId="0" fillId="0" borderId="1" xfId="0" applyNumberFormat="1" applyFont="1" applyFill="1" applyBorder="1" applyAlignment="1" applyProtection="1">
      <alignment horizontal="right" vertical="top" indent="2"/>
    </xf>
    <xf numFmtId="165" fontId="0" fillId="0" borderId="1" xfId="0" applyNumberFormat="1" applyFont="1" applyFill="1" applyBorder="1" applyAlignment="1" applyProtection="1">
      <alignment horizontal="right" vertical="top" indent="2"/>
    </xf>
    <xf numFmtId="0" fontId="8" fillId="0" borderId="0" xfId="0" applyFont="1" applyFill="1" applyProtection="1"/>
    <xf numFmtId="2" fontId="0" fillId="0" borderId="0" xfId="0" applyNumberFormat="1" applyFont="1" applyFill="1" applyBorder="1" applyAlignment="1" applyProtection="1">
      <alignment horizontal="right" vertical="top" indent="2"/>
    </xf>
    <xf numFmtId="165" fontId="0" fillId="0" borderId="0" xfId="0" applyNumberFormat="1" applyFill="1" applyProtection="1">
      <protection locked="0"/>
    </xf>
    <xf numFmtId="0" fontId="12" fillId="0" borderId="1" xfId="0" applyFont="1" applyFill="1" applyBorder="1" applyAlignment="1">
      <alignment vertical="top"/>
    </xf>
    <xf numFmtId="2" fontId="0" fillId="0" borderId="1" xfId="0" applyNumberFormat="1" applyFont="1" applyFill="1" applyBorder="1" applyAlignment="1" applyProtection="1">
      <alignment horizontal="center" vertical="top"/>
    </xf>
    <xf numFmtId="0" fontId="6" fillId="2" borderId="1" xfId="0" applyFont="1" applyFill="1" applyBorder="1" applyAlignment="1">
      <alignment vertical="top"/>
    </xf>
    <xf numFmtId="2" fontId="9" fillId="0" borderId="0" xfId="0" applyNumberFormat="1" applyFont="1" applyFill="1" applyBorder="1" applyAlignment="1">
      <alignment horizontal="right" vertical="top" indent="2"/>
    </xf>
    <xf numFmtId="2" fontId="0" fillId="0" borderId="0" xfId="0" applyNumberFormat="1" applyFont="1" applyFill="1" applyBorder="1" applyAlignment="1" applyProtection="1">
      <alignment horizontal="center" vertical="top"/>
    </xf>
    <xf numFmtId="165" fontId="0" fillId="0" borderId="0" xfId="0" applyNumberFormat="1" applyFont="1" applyFill="1" applyBorder="1" applyAlignment="1" applyProtection="1">
      <alignment horizontal="right" vertical="top" indent="2"/>
    </xf>
    <xf numFmtId="165" fontId="12" fillId="0" borderId="1" xfId="0" applyNumberFormat="1" applyFont="1" applyFill="1" applyBorder="1" applyAlignment="1" applyProtection="1">
      <alignment horizontal="center" vertical="top"/>
    </xf>
    <xf numFmtId="0" fontId="0" fillId="0" borderId="0" xfId="0" applyFill="1" applyAlignment="1" applyProtection="1">
      <alignment vertical="top"/>
      <protection locked="0"/>
    </xf>
    <xf numFmtId="2" fontId="9" fillId="0" borderId="1" xfId="0" applyNumberFormat="1" applyFont="1" applyFill="1" applyBorder="1" applyAlignment="1">
      <alignment horizontal="right" vertical="top"/>
    </xf>
    <xf numFmtId="2" fontId="0" fillId="0" borderId="1" xfId="0" applyNumberFormat="1" applyFont="1" applyFill="1" applyBorder="1" applyAlignment="1" applyProtection="1">
      <alignment horizontal="right" vertical="top"/>
    </xf>
    <xf numFmtId="165" fontId="0" fillId="0" borderId="1" xfId="0" applyNumberFormat="1" applyFont="1" applyFill="1" applyBorder="1" applyAlignment="1" applyProtection="1">
      <alignment horizontal="center" vertical="top"/>
      <protection locked="0"/>
    </xf>
    <xf numFmtId="0" fontId="0" fillId="0" borderId="0" xfId="0" applyFill="1" applyAlignment="1" applyProtection="1">
      <alignment horizontal="center" vertical="top"/>
      <protection locked="0"/>
    </xf>
    <xf numFmtId="165" fontId="0" fillId="0" borderId="1" xfId="0" applyNumberFormat="1" applyFont="1" applyFill="1" applyBorder="1" applyAlignment="1" applyProtection="1">
      <alignment horizontal="center" vertical="top"/>
    </xf>
    <xf numFmtId="0" fontId="6" fillId="3" borderId="0" xfId="0" applyFont="1" applyFill="1" applyAlignment="1">
      <alignment vertical="top"/>
    </xf>
    <xf numFmtId="0" fontId="6" fillId="4" borderId="1" xfId="0" applyFont="1" applyFill="1" applyBorder="1" applyAlignment="1">
      <alignment horizontal="center" vertical="top"/>
    </xf>
    <xf numFmtId="0" fontId="6" fillId="4" borderId="1" xfId="0" applyFont="1" applyFill="1" applyBorder="1" applyAlignment="1">
      <alignment vertical="top"/>
    </xf>
    <xf numFmtId="165" fontId="6" fillId="4" borderId="1" xfId="0" applyNumberFormat="1" applyFont="1" applyFill="1" applyBorder="1" applyAlignment="1">
      <alignment horizontal="center" vertical="top"/>
    </xf>
    <xf numFmtId="0" fontId="6" fillId="4" borderId="0" xfId="0" applyFont="1" applyFill="1" applyAlignment="1">
      <alignment vertical="top"/>
    </xf>
    <xf numFmtId="0" fontId="6" fillId="5" borderId="1" xfId="0" applyFont="1" applyFill="1" applyBorder="1" applyAlignment="1">
      <alignment horizontal="center" vertical="top"/>
    </xf>
    <xf numFmtId="0" fontId="6" fillId="5" borderId="1" xfId="0" applyFont="1" applyFill="1" applyBorder="1" applyAlignment="1">
      <alignment vertical="top"/>
    </xf>
    <xf numFmtId="165" fontId="6" fillId="5" borderId="1" xfId="0" applyNumberFormat="1" applyFont="1" applyFill="1" applyBorder="1" applyAlignment="1">
      <alignment horizontal="center" vertical="top"/>
    </xf>
    <xf numFmtId="0" fontId="6" fillId="5" borderId="0" xfId="0" applyFont="1" applyFill="1" applyAlignment="1">
      <alignment vertical="top"/>
    </xf>
    <xf numFmtId="0" fontId="6" fillId="2" borderId="1" xfId="0" applyFont="1" applyFill="1" applyBorder="1" applyAlignment="1">
      <alignment horizontal="center" vertical="top"/>
    </xf>
    <xf numFmtId="165" fontId="6" fillId="2" borderId="1" xfId="0" applyNumberFormat="1" applyFont="1" applyFill="1" applyBorder="1" applyAlignment="1">
      <alignment horizontal="center" vertical="top"/>
    </xf>
    <xf numFmtId="165" fontId="6" fillId="2" borderId="1" xfId="0" applyNumberFormat="1" applyFont="1" applyFill="1" applyBorder="1" applyAlignment="1" applyProtection="1">
      <alignment horizontal="center" vertical="top"/>
    </xf>
    <xf numFmtId="165" fontId="6" fillId="0" borderId="0" xfId="0" applyNumberFormat="1" applyFont="1" applyFill="1" applyBorder="1" applyAlignment="1">
      <alignment horizontal="center" vertical="top"/>
    </xf>
    <xf numFmtId="10" fontId="6" fillId="0" borderId="0" xfId="1" applyNumberFormat="1" applyFont="1" applyFill="1" applyBorder="1" applyAlignment="1">
      <alignment horizontal="center" vertical="top"/>
    </xf>
    <xf numFmtId="0" fontId="2" fillId="0" borderId="0" xfId="14" applyFill="1" applyAlignment="1">
      <alignment horizontal="center" vertical="top"/>
    </xf>
    <xf numFmtId="0" fontId="2" fillId="0" borderId="0" xfId="14" applyFill="1" applyAlignment="1">
      <alignment vertical="top"/>
    </xf>
    <xf numFmtId="0" fontId="2" fillId="0" borderId="0" xfId="14" applyFill="1" applyAlignment="1">
      <alignment horizontal="right" vertical="top"/>
    </xf>
    <xf numFmtId="0" fontId="15" fillId="0" borderId="1" xfId="14" applyFont="1" applyFill="1" applyBorder="1" applyAlignment="1">
      <alignment horizontal="center" vertical="top"/>
    </xf>
    <xf numFmtId="0" fontId="15" fillId="0" borderId="1" xfId="14" applyFont="1" applyFill="1" applyBorder="1" applyAlignment="1">
      <alignment horizontal="center" vertical="top" wrapText="1"/>
    </xf>
    <xf numFmtId="0" fontId="2" fillId="0" borderId="1" xfId="14" applyFill="1" applyBorder="1" applyAlignment="1">
      <alignment horizontal="center" vertical="top"/>
    </xf>
    <xf numFmtId="0" fontId="2" fillId="0" borderId="1" xfId="14" applyFill="1" applyBorder="1" applyAlignment="1">
      <alignment vertical="top"/>
    </xf>
    <xf numFmtId="1" fontId="2" fillId="0" borderId="1" xfId="14" applyNumberFormat="1" applyFill="1" applyBorder="1" applyAlignment="1">
      <alignment vertical="top"/>
    </xf>
    <xf numFmtId="10" fontId="0" fillId="0" borderId="1" xfId="15" applyNumberFormat="1" applyFont="1" applyFill="1" applyBorder="1" applyAlignment="1">
      <alignment vertical="top"/>
    </xf>
    <xf numFmtId="1" fontId="2" fillId="0" borderId="0" xfId="14" applyNumberFormat="1" applyFill="1" applyAlignment="1">
      <alignment vertical="top"/>
    </xf>
    <xf numFmtId="2" fontId="2" fillId="0" borderId="1" xfId="14" applyNumberFormat="1" applyFill="1" applyBorder="1" applyAlignment="1">
      <alignment vertical="top"/>
    </xf>
    <xf numFmtId="3" fontId="16" fillId="0" borderId="1" xfId="17" applyNumberFormat="1" applyFont="1" applyFill="1" applyBorder="1" applyAlignment="1">
      <alignment horizontal="right" vertical="top" wrapText="1"/>
    </xf>
    <xf numFmtId="0" fontId="2" fillId="2" borderId="1" xfId="14" applyFill="1" applyBorder="1" applyAlignment="1">
      <alignment vertical="top"/>
    </xf>
    <xf numFmtId="0" fontId="2" fillId="2" borderId="0" xfId="14" applyFill="1" applyAlignment="1">
      <alignment vertical="top"/>
    </xf>
    <xf numFmtId="165" fontId="6" fillId="4" borderId="1" xfId="0" quotePrefix="1" applyNumberFormat="1" applyFont="1" applyFill="1" applyBorder="1" applyAlignment="1">
      <alignment horizontal="center" vertical="top"/>
    </xf>
    <xf numFmtId="0" fontId="12" fillId="0" borderId="0" xfId="0" applyFont="1" applyFill="1" applyBorder="1" applyAlignment="1">
      <alignment vertical="top"/>
    </xf>
    <xf numFmtId="0" fontId="12" fillId="0" borderId="0" xfId="0" applyFont="1" applyFill="1" applyBorder="1" applyAlignment="1">
      <alignment horizontal="center" vertical="top"/>
    </xf>
    <xf numFmtId="0" fontId="12" fillId="0" borderId="0" xfId="0" applyFont="1" applyFill="1" applyAlignment="1">
      <alignment vertical="top"/>
    </xf>
    <xf numFmtId="0" fontId="1" fillId="0" borderId="0" xfId="14" applyFont="1" applyFill="1" applyAlignment="1">
      <alignment vertical="top"/>
    </xf>
    <xf numFmtId="3" fontId="2" fillId="0" borderId="0" xfId="14" applyNumberFormat="1" applyFill="1" applyAlignment="1">
      <alignment vertical="top"/>
    </xf>
    <xf numFmtId="3" fontId="16" fillId="0" borderId="9" xfId="0" applyNumberFormat="1" applyFont="1" applyFill="1" applyBorder="1" applyAlignment="1">
      <alignment horizontal="right" vertical="center"/>
    </xf>
    <xf numFmtId="0" fontId="6" fillId="6" borderId="1" xfId="0" applyFont="1" applyFill="1" applyBorder="1" applyAlignment="1">
      <alignment horizontal="center" vertical="top"/>
    </xf>
    <xf numFmtId="0" fontId="6" fillId="6" borderId="1" xfId="0" applyFont="1" applyFill="1" applyBorder="1" applyAlignment="1">
      <alignment vertical="top"/>
    </xf>
    <xf numFmtId="165" fontId="6" fillId="6" borderId="1" xfId="0" applyNumberFormat="1" applyFont="1" applyFill="1" applyBorder="1" applyAlignment="1">
      <alignment horizontal="center" vertical="top"/>
    </xf>
    <xf numFmtId="0" fontId="6" fillId="6" borderId="0" xfId="0" applyFont="1" applyFill="1" applyAlignment="1">
      <alignment vertical="top"/>
    </xf>
    <xf numFmtId="0" fontId="6" fillId="7" borderId="1" xfId="0" applyFont="1" applyFill="1" applyBorder="1" applyAlignment="1">
      <alignment horizontal="center" vertical="top"/>
    </xf>
    <xf numFmtId="0" fontId="6" fillId="7" borderId="1" xfId="0" applyFont="1" applyFill="1" applyBorder="1" applyAlignment="1">
      <alignment vertical="top"/>
    </xf>
    <xf numFmtId="165" fontId="6" fillId="7" borderId="1" xfId="0" applyNumberFormat="1" applyFont="1" applyFill="1" applyBorder="1" applyAlignment="1">
      <alignment horizontal="center" vertical="top"/>
    </xf>
    <xf numFmtId="0" fontId="6" fillId="7" borderId="0" xfId="0" applyFont="1" applyFill="1" applyAlignment="1">
      <alignment vertical="top"/>
    </xf>
    <xf numFmtId="2" fontId="6" fillId="6" borderId="1" xfId="0" applyNumberFormat="1" applyFont="1" applyFill="1" applyBorder="1" applyAlignment="1">
      <alignment horizontal="center" vertical="top"/>
    </xf>
    <xf numFmtId="165" fontId="0" fillId="0" borderId="1" xfId="0" applyNumberFormat="1" applyFill="1" applyBorder="1"/>
    <xf numFmtId="0" fontId="2" fillId="5" borderId="1" xfId="14" applyFill="1" applyBorder="1" applyAlignment="1">
      <alignment horizontal="center" vertical="top"/>
    </xf>
    <xf numFmtId="0" fontId="2" fillId="5" borderId="1" xfId="14" applyFill="1" applyBorder="1" applyAlignment="1">
      <alignment vertical="top"/>
    </xf>
    <xf numFmtId="1" fontId="2" fillId="5" borderId="1" xfId="14" applyNumberFormat="1" applyFill="1" applyBorder="1" applyAlignment="1">
      <alignment vertical="top"/>
    </xf>
    <xf numFmtId="10" fontId="0" fillId="5" borderId="1" xfId="15" applyNumberFormat="1" applyFont="1" applyFill="1" applyBorder="1" applyAlignment="1">
      <alignment vertical="top"/>
    </xf>
    <xf numFmtId="165" fontId="6" fillId="4" borderId="1" xfId="0" applyNumberFormat="1" applyFont="1" applyFill="1" applyBorder="1" applyAlignment="1" applyProtection="1">
      <alignment horizontal="center" vertical="top"/>
    </xf>
    <xf numFmtId="0" fontId="17" fillId="0" borderId="1" xfId="14" applyFont="1" applyFill="1" applyBorder="1" applyAlignment="1">
      <alignment horizontal="center" vertical="top"/>
    </xf>
    <xf numFmtId="0" fontId="17" fillId="0" borderId="1" xfId="14" applyFont="1" applyFill="1" applyBorder="1" applyAlignment="1">
      <alignment horizontal="center" vertical="top" wrapText="1"/>
    </xf>
    <xf numFmtId="0" fontId="18" fillId="0" borderId="1" xfId="14" applyFont="1" applyFill="1" applyBorder="1" applyAlignment="1">
      <alignment horizontal="center" vertical="top"/>
    </xf>
    <xf numFmtId="0" fontId="4" fillId="0" borderId="1" xfId="0" applyFont="1" applyFill="1" applyBorder="1" applyAlignment="1">
      <alignment vertical="top"/>
    </xf>
    <xf numFmtId="0" fontId="18" fillId="0" borderId="1" xfId="14" applyFont="1" applyFill="1" applyBorder="1" applyAlignment="1">
      <alignment vertical="top"/>
    </xf>
    <xf numFmtId="1" fontId="18" fillId="0" borderId="1" xfId="14" applyNumberFormat="1" applyFont="1" applyFill="1" applyBorder="1" applyAlignment="1">
      <alignment vertical="top"/>
    </xf>
    <xf numFmtId="10" fontId="4" fillId="0" borderId="1" xfId="15" applyNumberFormat="1" applyFont="1" applyFill="1" applyBorder="1" applyAlignment="1">
      <alignment vertical="top"/>
    </xf>
    <xf numFmtId="3" fontId="19" fillId="0" borderId="1" xfId="16" applyNumberFormat="1" applyFont="1" applyFill="1" applyBorder="1" applyAlignment="1">
      <alignment horizontal="right" vertical="top" wrapText="1"/>
    </xf>
    <xf numFmtId="0" fontId="20" fillId="0" borderId="1" xfId="0" applyFont="1" applyFill="1" applyBorder="1" applyAlignment="1">
      <alignment vertical="top"/>
    </xf>
    <xf numFmtId="3" fontId="19" fillId="0" borderId="1" xfId="17" applyNumberFormat="1" applyFont="1" applyFill="1" applyBorder="1" applyAlignment="1">
      <alignment horizontal="right" vertical="top" wrapText="1"/>
    </xf>
    <xf numFmtId="2" fontId="6" fillId="2" borderId="1" xfId="0" applyNumberFormat="1" applyFont="1" applyFill="1" applyBorder="1" applyAlignment="1">
      <alignment horizontal="center" vertical="top"/>
    </xf>
    <xf numFmtId="165" fontId="6" fillId="0" borderId="0" xfId="0" quotePrefix="1" applyNumberFormat="1" applyFont="1" applyFill="1" applyBorder="1" applyAlignment="1">
      <alignment horizontal="center" vertical="top"/>
    </xf>
    <xf numFmtId="0" fontId="6" fillId="8" borderId="0" xfId="0" applyFont="1" applyFill="1" applyAlignment="1">
      <alignment vertical="top"/>
    </xf>
    <xf numFmtId="0" fontId="6" fillId="8" borderId="1" xfId="0" applyFont="1" applyFill="1" applyBorder="1" applyAlignment="1">
      <alignment vertical="top"/>
    </xf>
    <xf numFmtId="165" fontId="6" fillId="6" borderId="1" xfId="0" quotePrefix="1" applyNumberFormat="1" applyFont="1" applyFill="1" applyBorder="1" applyAlignment="1">
      <alignment horizontal="center" vertical="top"/>
    </xf>
    <xf numFmtId="165" fontId="6" fillId="2" borderId="1" xfId="0" quotePrefix="1" applyNumberFormat="1" applyFont="1" applyFill="1" applyBorder="1" applyAlignment="1">
      <alignment horizontal="center" vertical="top"/>
    </xf>
    <xf numFmtId="0" fontId="6" fillId="0" borderId="0" xfId="0" applyFont="1" applyFill="1" applyBorder="1" applyAlignment="1">
      <alignment vertical="top" wrapText="1"/>
    </xf>
    <xf numFmtId="10" fontId="6" fillId="4" borderId="1" xfId="1" applyNumberFormat="1" applyFont="1" applyFill="1" applyBorder="1" applyAlignment="1">
      <alignment horizontal="center" vertical="top"/>
    </xf>
    <xf numFmtId="0" fontId="12" fillId="4" borderId="1" xfId="0" applyFont="1" applyFill="1" applyBorder="1" applyAlignment="1">
      <alignment horizontal="center" vertical="top"/>
    </xf>
    <xf numFmtId="0" fontId="6" fillId="2" borderId="1" xfId="0" applyFont="1" applyFill="1" applyBorder="1" applyAlignment="1">
      <alignment vertical="top" wrapText="1"/>
    </xf>
    <xf numFmtId="0" fontId="6" fillId="9" borderId="1" xfId="0" applyFont="1" applyFill="1" applyBorder="1" applyAlignment="1">
      <alignment horizontal="center" vertical="top"/>
    </xf>
    <xf numFmtId="166" fontId="13" fillId="0" borderId="1" xfId="0" applyNumberFormat="1" applyFont="1" applyFill="1" applyBorder="1" applyAlignment="1" applyProtection="1">
      <alignment vertical="center"/>
      <protection locked="0"/>
    </xf>
    <xf numFmtId="0" fontId="0" fillId="0" borderId="0" xfId="0" applyFont="1" applyFill="1" applyBorder="1" applyProtection="1">
      <protection locked="0"/>
    </xf>
    <xf numFmtId="0" fontId="0" fillId="0" borderId="0" xfId="0" applyFont="1" applyFill="1" applyProtection="1">
      <protection locked="0"/>
    </xf>
    <xf numFmtId="0" fontId="0" fillId="0" borderId="1" xfId="0" applyFont="1" applyFill="1" applyBorder="1" applyAlignment="1" applyProtection="1">
      <alignment horizontal="center" vertical="top"/>
    </xf>
    <xf numFmtId="0" fontId="0" fillId="0" borderId="0" xfId="0" applyFont="1" applyFill="1" applyBorder="1" applyAlignment="1" applyProtection="1">
      <alignment horizontal="center" vertical="top"/>
    </xf>
    <xf numFmtId="0" fontId="0" fillId="0" borderId="0" xfId="0" applyFont="1" applyFill="1" applyBorder="1" applyAlignment="1" applyProtection="1">
      <alignment vertical="top"/>
    </xf>
    <xf numFmtId="165" fontId="0" fillId="0" borderId="0" xfId="0" applyNumberFormat="1" applyFont="1" applyFill="1" applyProtection="1">
      <protection locked="0"/>
    </xf>
    <xf numFmtId="165" fontId="0" fillId="0" borderId="0" xfId="0" applyNumberFormat="1" applyFont="1" applyFill="1" applyBorder="1" applyProtection="1">
      <protection locked="0"/>
    </xf>
    <xf numFmtId="0" fontId="8" fillId="0" borderId="0" xfId="0" applyFont="1" applyFill="1" applyBorder="1" applyAlignment="1" applyProtection="1">
      <alignment horizontal="center" vertical="top" wrapText="1"/>
    </xf>
    <xf numFmtId="0" fontId="8" fillId="0" borderId="0" xfId="0" applyFont="1" applyFill="1" applyBorder="1" applyAlignment="1" applyProtection="1">
      <alignment vertical="top"/>
    </xf>
    <xf numFmtId="165" fontId="0" fillId="0" borderId="0" xfId="0" applyNumberFormat="1" applyFont="1" applyFill="1" applyBorder="1" applyAlignment="1" applyProtection="1">
      <alignment horizontal="center" vertical="top"/>
    </xf>
    <xf numFmtId="165" fontId="0" fillId="0" borderId="1" xfId="0" applyNumberFormat="1" applyFont="1" applyFill="1" applyBorder="1" applyAlignment="1">
      <alignment horizontal="center" vertical="top"/>
    </xf>
    <xf numFmtId="0" fontId="0" fillId="0" borderId="6" xfId="0" applyFill="1" applyBorder="1"/>
    <xf numFmtId="165" fontId="0" fillId="0" borderId="0" xfId="0" applyNumberFormat="1" applyFill="1"/>
    <xf numFmtId="0" fontId="6" fillId="0" borderId="1" xfId="0" applyFont="1" applyFill="1" applyBorder="1" applyAlignment="1">
      <alignment horizontal="left" vertical="top" wrapText="1"/>
    </xf>
    <xf numFmtId="165" fontId="9" fillId="0" borderId="0" xfId="0" applyNumberFormat="1" applyFont="1" applyFill="1" applyBorder="1" applyAlignment="1">
      <alignment horizontal="center" vertical="top"/>
    </xf>
    <xf numFmtId="2" fontId="0" fillId="0" borderId="0" xfId="0" applyNumberFormat="1" applyFill="1" applyAlignment="1" applyProtection="1">
      <alignment vertical="top"/>
      <protection locked="0"/>
    </xf>
    <xf numFmtId="0" fontId="5" fillId="0" borderId="1" xfId="0" applyFont="1" applyFill="1" applyBorder="1" applyAlignment="1">
      <alignment horizontal="center" vertical="top" wrapText="1"/>
    </xf>
    <xf numFmtId="0" fontId="6" fillId="10" borderId="1" xfId="0" applyFont="1" applyFill="1" applyBorder="1" applyAlignment="1">
      <alignment horizontal="center" vertical="top"/>
    </xf>
    <xf numFmtId="0" fontId="6" fillId="10" borderId="1" xfId="0" applyFont="1" applyFill="1" applyBorder="1" applyAlignment="1">
      <alignment vertical="top"/>
    </xf>
    <xf numFmtId="165" fontId="6" fillId="10" borderId="1" xfId="0" applyNumberFormat="1" applyFont="1" applyFill="1" applyBorder="1" applyAlignment="1">
      <alignment horizontal="center" vertical="top"/>
    </xf>
    <xf numFmtId="165" fontId="6" fillId="10" borderId="1" xfId="0" quotePrefix="1" applyNumberFormat="1" applyFont="1" applyFill="1" applyBorder="1" applyAlignment="1">
      <alignment horizontal="center" vertical="top"/>
    </xf>
    <xf numFmtId="10" fontId="6" fillId="10" borderId="1" xfId="1" applyNumberFormat="1" applyFont="1" applyFill="1" applyBorder="1" applyAlignment="1">
      <alignment horizontal="center" vertical="top"/>
    </xf>
    <xf numFmtId="165" fontId="6" fillId="10" borderId="1" xfId="0" applyNumberFormat="1" applyFont="1" applyFill="1" applyBorder="1" applyAlignment="1" applyProtection="1">
      <alignment horizontal="center" vertical="top"/>
    </xf>
    <xf numFmtId="0" fontId="6" fillId="10" borderId="0" xfId="0" applyFont="1" applyFill="1" applyAlignment="1">
      <alignment vertical="top"/>
    </xf>
    <xf numFmtId="0" fontId="12" fillId="10" borderId="1" xfId="0" applyFont="1" applyFill="1" applyBorder="1" applyAlignment="1">
      <alignment horizontal="center" vertical="top"/>
    </xf>
    <xf numFmtId="0" fontId="0" fillId="0" borderId="0" xfId="0" applyFill="1" applyAlignment="1">
      <alignment horizontal="center"/>
    </xf>
    <xf numFmtId="0" fontId="0" fillId="0" borderId="1" xfId="0" applyFill="1" applyBorder="1" applyAlignment="1">
      <alignment vertical="top" wrapText="1"/>
    </xf>
    <xf numFmtId="2" fontId="0" fillId="0" borderId="1" xfId="0" applyNumberFormat="1" applyFill="1" applyBorder="1" applyAlignment="1">
      <alignment vertical="top" wrapText="1"/>
    </xf>
    <xf numFmtId="0" fontId="12" fillId="0" borderId="0" xfId="0" applyFont="1" applyFill="1" applyAlignment="1" applyProtection="1">
      <alignment vertical="top"/>
      <protection locked="0"/>
    </xf>
    <xf numFmtId="0" fontId="22" fillId="0" borderId="1" xfId="0" applyFont="1" applyFill="1" applyBorder="1" applyAlignment="1">
      <alignment horizontal="center" vertical="top" wrapText="1"/>
    </xf>
    <xf numFmtId="0" fontId="12" fillId="0" borderId="1" xfId="0" applyFont="1" applyFill="1" applyBorder="1" applyAlignment="1">
      <alignment horizontal="center" vertical="top"/>
    </xf>
    <xf numFmtId="165" fontId="12" fillId="0" borderId="1" xfId="0" applyNumberFormat="1" applyFont="1" applyFill="1" applyBorder="1" applyAlignment="1">
      <alignment horizontal="center" vertical="top"/>
    </xf>
    <xf numFmtId="165" fontId="12" fillId="0" borderId="0" xfId="0" applyNumberFormat="1" applyFont="1" applyFill="1" applyAlignment="1" applyProtection="1">
      <alignment vertical="top"/>
      <protection locked="0"/>
    </xf>
    <xf numFmtId="165" fontId="12" fillId="0" borderId="0" xfId="0" applyNumberFormat="1" applyFont="1" applyFill="1" applyBorder="1" applyAlignment="1">
      <alignment horizontal="center" vertical="top"/>
    </xf>
    <xf numFmtId="10" fontId="12" fillId="0" borderId="0" xfId="1" applyNumberFormat="1" applyFont="1" applyFill="1" applyBorder="1" applyAlignment="1">
      <alignment horizontal="center" vertical="top"/>
    </xf>
    <xf numFmtId="0" fontId="22" fillId="0" borderId="0" xfId="0" applyFont="1" applyFill="1" applyBorder="1" applyAlignment="1" applyProtection="1">
      <alignment vertical="top"/>
    </xf>
    <xf numFmtId="165" fontId="20" fillId="0" borderId="0" xfId="0" applyNumberFormat="1" applyFont="1" applyFill="1" applyBorder="1" applyAlignment="1" applyProtection="1">
      <alignment vertical="top"/>
      <protection locked="0"/>
    </xf>
    <xf numFmtId="0" fontId="12" fillId="0" borderId="0" xfId="0" applyFont="1" applyFill="1" applyBorder="1" applyAlignment="1" applyProtection="1">
      <alignment vertical="top"/>
      <protection locked="0"/>
    </xf>
    <xf numFmtId="0" fontId="12" fillId="0" borderId="1" xfId="0" applyFont="1" applyFill="1" applyBorder="1" applyAlignment="1" applyProtection="1">
      <alignment horizontal="center" vertical="top"/>
    </xf>
    <xf numFmtId="0" fontId="12" fillId="0" borderId="0" xfId="0" applyFont="1" applyFill="1" applyBorder="1" applyAlignment="1" applyProtection="1">
      <alignment horizontal="center" vertical="top"/>
    </xf>
    <xf numFmtId="0" fontId="12" fillId="0" borderId="0" xfId="0" applyFont="1" applyFill="1" applyAlignment="1" applyProtection="1">
      <alignment horizontal="center" vertical="top"/>
    </xf>
    <xf numFmtId="0" fontId="12" fillId="0" borderId="0" xfId="0" applyFont="1" applyFill="1" applyAlignment="1" applyProtection="1">
      <alignment horizontal="center" vertical="top"/>
      <protection locked="0"/>
    </xf>
    <xf numFmtId="14" fontId="0" fillId="0" borderId="0" xfId="0" applyNumberFormat="1" applyFill="1" applyBorder="1" applyProtection="1">
      <protection locked="0"/>
    </xf>
    <xf numFmtId="10" fontId="6" fillId="7" borderId="1" xfId="1" applyNumberFormat="1" applyFont="1" applyFill="1" applyBorder="1" applyAlignment="1">
      <alignment horizontal="center" vertical="top"/>
    </xf>
    <xf numFmtId="10" fontId="6" fillId="6" borderId="1" xfId="1" applyNumberFormat="1" applyFont="1" applyFill="1" applyBorder="1" applyAlignment="1">
      <alignment horizontal="center" vertical="top"/>
    </xf>
    <xf numFmtId="0" fontId="22" fillId="0" borderId="0" xfId="0" applyFont="1" applyFill="1" applyBorder="1" applyAlignment="1" applyProtection="1">
      <alignment horizontal="center" vertical="top"/>
    </xf>
    <xf numFmtId="0" fontId="25" fillId="0" borderId="0" xfId="0" applyFont="1" applyFill="1" applyAlignment="1" applyProtection="1">
      <alignment vertical="top"/>
      <protection locked="0"/>
    </xf>
    <xf numFmtId="0" fontId="12" fillId="0" borderId="0" xfId="0" applyFont="1" applyFill="1" applyBorder="1" applyAlignment="1">
      <alignment vertical="top" wrapText="1"/>
    </xf>
    <xf numFmtId="0" fontId="12" fillId="0" borderId="0" xfId="0" applyFont="1" applyFill="1" applyAlignment="1" applyProtection="1">
      <alignment vertical="top" wrapText="1"/>
      <protection locked="0"/>
    </xf>
    <xf numFmtId="10" fontId="6" fillId="5" borderId="1" xfId="1" applyNumberFormat="1" applyFont="1" applyFill="1" applyBorder="1" applyAlignment="1">
      <alignment horizontal="center" vertical="top"/>
    </xf>
    <xf numFmtId="2" fontId="6" fillId="5" borderId="1" xfId="0" applyNumberFormat="1" applyFont="1" applyFill="1" applyBorder="1" applyAlignment="1">
      <alignment horizontal="center" vertical="top"/>
    </xf>
    <xf numFmtId="0" fontId="5" fillId="5" borderId="1" xfId="0" applyFont="1" applyFill="1" applyBorder="1" applyAlignment="1">
      <alignment horizontal="center" vertical="top" wrapText="1"/>
    </xf>
    <xf numFmtId="165" fontId="6" fillId="5" borderId="1" xfId="0" quotePrefix="1" applyNumberFormat="1" applyFont="1" applyFill="1" applyBorder="1" applyAlignment="1">
      <alignment horizontal="center" vertical="top"/>
    </xf>
    <xf numFmtId="0" fontId="6" fillId="11" borderId="0" xfId="0" applyFont="1" applyFill="1" applyAlignment="1">
      <alignment vertical="top"/>
    </xf>
    <xf numFmtId="165" fontId="12" fillId="0" borderId="1" xfId="1" applyNumberFormat="1" applyFont="1" applyFill="1" applyBorder="1" applyAlignment="1">
      <alignment horizontal="center" vertical="top"/>
    </xf>
    <xf numFmtId="10" fontId="6" fillId="2" borderId="1" xfId="1" applyNumberFormat="1" applyFont="1" applyFill="1" applyBorder="1" applyAlignment="1">
      <alignment horizontal="center" vertical="top"/>
    </xf>
    <xf numFmtId="165" fontId="6" fillId="5" borderId="1" xfId="0" applyNumberFormat="1" applyFont="1" applyFill="1" applyBorder="1" applyAlignment="1" applyProtection="1">
      <alignment horizontal="center" vertical="top"/>
    </xf>
    <xf numFmtId="0" fontId="12" fillId="0" borderId="0" xfId="0" applyFont="1" applyFill="1" applyBorder="1" applyAlignment="1">
      <alignment horizontal="left" vertical="top" wrapText="1"/>
    </xf>
    <xf numFmtId="17" fontId="6" fillId="0" borderId="0" xfId="0" applyNumberFormat="1" applyFont="1" applyFill="1" applyAlignment="1">
      <alignment vertical="top"/>
    </xf>
    <xf numFmtId="165" fontId="6" fillId="0" borderId="0" xfId="0" applyNumberFormat="1" applyFont="1" applyFill="1" applyAlignment="1">
      <alignment vertical="top"/>
    </xf>
    <xf numFmtId="10" fontId="6" fillId="0" borderId="0" xfId="1" applyNumberFormat="1" applyFont="1" applyFill="1" applyAlignment="1">
      <alignment vertical="top"/>
    </xf>
    <xf numFmtId="0" fontId="0" fillId="4" borderId="1" xfId="0" applyFill="1" applyBorder="1"/>
    <xf numFmtId="0" fontId="0" fillId="2" borderId="0" xfId="0" applyFill="1" applyAlignment="1">
      <alignment horizontal="center"/>
    </xf>
    <xf numFmtId="2" fontId="6" fillId="0" borderId="0" xfId="0" applyNumberFormat="1" applyFont="1" applyFill="1" applyBorder="1" applyAlignment="1">
      <alignment horizontal="center" vertical="top"/>
    </xf>
    <xf numFmtId="0" fontId="22" fillId="0" borderId="1" xfId="0" applyFont="1" applyFill="1" applyBorder="1" applyAlignment="1" applyProtection="1">
      <alignment horizontal="center" vertical="top" wrapText="1"/>
    </xf>
    <xf numFmtId="0" fontId="0" fillId="0" borderId="0" xfId="0" applyFont="1" applyFill="1" applyAlignment="1" applyProtection="1">
      <alignment horizontal="center"/>
      <protection locked="0"/>
    </xf>
    <xf numFmtId="0" fontId="5" fillId="0" borderId="1" xfId="0" applyFont="1" applyFill="1" applyBorder="1" applyAlignment="1" applyProtection="1">
      <alignment horizontal="center" vertical="top" wrapText="1"/>
    </xf>
    <xf numFmtId="166" fontId="13" fillId="2" borderId="1" xfId="0" applyNumberFormat="1" applyFont="1" applyFill="1" applyBorder="1" applyAlignment="1" applyProtection="1">
      <alignment vertical="center"/>
      <protection locked="0"/>
    </xf>
    <xf numFmtId="0" fontId="0" fillId="2" borderId="1" xfId="0" applyFill="1" applyBorder="1"/>
    <xf numFmtId="4" fontId="0" fillId="2" borderId="1" xfId="0" applyNumberFormat="1" applyFill="1" applyBorder="1"/>
    <xf numFmtId="2" fontId="9" fillId="2" borderId="1" xfId="0" applyNumberFormat="1" applyFont="1" applyFill="1" applyBorder="1" applyAlignment="1">
      <alignment horizontal="center"/>
    </xf>
    <xf numFmtId="0" fontId="0" fillId="2" borderId="1" xfId="0" applyFill="1" applyBorder="1" applyAlignment="1">
      <alignment vertical="top" wrapText="1"/>
    </xf>
    <xf numFmtId="0" fontId="6" fillId="0" borderId="0" xfId="0" applyFont="1" applyFill="1" applyBorder="1" applyAlignment="1">
      <alignment horizontal="center" vertical="top" wrapText="1"/>
    </xf>
    <xf numFmtId="0" fontId="12" fillId="0" borderId="0" xfId="0" applyFont="1" applyFill="1" applyBorder="1" applyAlignment="1">
      <alignment horizontal="center" vertical="top" wrapText="1"/>
    </xf>
    <xf numFmtId="0" fontId="5" fillId="0" borderId="2" xfId="0" applyFont="1" applyFill="1" applyBorder="1" applyAlignment="1" applyProtection="1">
      <alignment vertical="top" wrapText="1"/>
    </xf>
    <xf numFmtId="0" fontId="0" fillId="0" borderId="1" xfId="0" applyFont="1" applyFill="1" applyBorder="1" applyProtection="1">
      <protection locked="0"/>
    </xf>
    <xf numFmtId="2" fontId="0" fillId="0" borderId="0" xfId="0" applyNumberFormat="1" applyFont="1" applyFill="1" applyProtection="1">
      <protection locked="0"/>
    </xf>
    <xf numFmtId="4" fontId="0" fillId="0" borderId="0" xfId="0" applyNumberFormat="1"/>
    <xf numFmtId="0" fontId="10" fillId="0" borderId="11" xfId="0" applyFont="1" applyFill="1" applyBorder="1" applyAlignment="1">
      <alignment horizontal="center" vertical="top" wrapText="1"/>
    </xf>
    <xf numFmtId="0" fontId="6" fillId="5" borderId="1" xfId="0" applyFont="1" applyFill="1" applyBorder="1" applyAlignment="1">
      <alignment vertical="top" wrapText="1"/>
    </xf>
    <xf numFmtId="165" fontId="6" fillId="5" borderId="0" xfId="0" applyNumberFormat="1" applyFont="1" applyFill="1" applyAlignment="1">
      <alignment vertical="top"/>
    </xf>
    <xf numFmtId="10" fontId="6" fillId="5" borderId="0" xfId="1" applyNumberFormat="1" applyFont="1" applyFill="1" applyAlignment="1">
      <alignment vertical="top"/>
    </xf>
    <xf numFmtId="0" fontId="6" fillId="12" borderId="1" xfId="0" applyFont="1" applyFill="1" applyBorder="1" applyAlignment="1">
      <alignment horizontal="center" vertical="top"/>
    </xf>
    <xf numFmtId="0" fontId="6" fillId="13" borderId="1" xfId="0" applyFont="1" applyFill="1" applyBorder="1" applyAlignment="1">
      <alignment horizontal="center" vertical="top"/>
    </xf>
    <xf numFmtId="0" fontId="0" fillId="0" borderId="0" xfId="0" applyBorder="1"/>
    <xf numFmtId="0" fontId="6" fillId="0" borderId="0" xfId="0" applyFont="1" applyBorder="1" applyAlignment="1">
      <alignment horizontal="center" vertical="top"/>
    </xf>
    <xf numFmtId="0" fontId="6" fillId="0" borderId="0" xfId="0" applyFont="1" applyAlignment="1">
      <alignment horizontal="center" vertical="top"/>
    </xf>
    <xf numFmtId="0" fontId="12" fillId="0" borderId="0" xfId="0" applyFont="1" applyFill="1" applyBorder="1" applyAlignment="1">
      <alignment horizontal="left" vertical="top" wrapText="1"/>
    </xf>
    <xf numFmtId="0" fontId="5" fillId="0" borderId="1" xfId="0" applyFont="1" applyFill="1" applyBorder="1" applyAlignment="1" applyProtection="1">
      <alignment horizontal="center" vertical="top" wrapText="1"/>
    </xf>
    <xf numFmtId="165" fontId="0" fillId="0" borderId="0" xfId="0" applyNumberFormat="1" applyFill="1" applyBorder="1" applyAlignment="1" applyProtection="1">
      <alignment horizontal="center" vertical="center" wrapText="1"/>
      <protection locked="0"/>
    </xf>
    <xf numFmtId="1" fontId="2" fillId="0" borderId="1" xfId="14" applyNumberFormat="1" applyFill="1" applyBorder="1" applyAlignment="1">
      <alignment horizontal="right" vertical="top" indent="4"/>
    </xf>
    <xf numFmtId="10" fontId="0" fillId="0" borderId="1" xfId="15" applyNumberFormat="1" applyFont="1" applyFill="1" applyBorder="1" applyAlignment="1">
      <alignment horizontal="right" vertical="top" indent="4"/>
    </xf>
    <xf numFmtId="0" fontId="2" fillId="0" borderId="0" xfId="14" applyFill="1" applyAlignment="1">
      <alignment horizontal="right" vertical="top" indent="4"/>
    </xf>
    <xf numFmtId="9" fontId="0" fillId="0" borderId="0" xfId="1" applyFont="1" applyFill="1"/>
    <xf numFmtId="10" fontId="0" fillId="0" borderId="0" xfId="1" applyNumberFormat="1" applyFont="1" applyFill="1"/>
    <xf numFmtId="0" fontId="5" fillId="0" borderId="1" xfId="0" applyFont="1" applyFill="1" applyBorder="1" applyAlignment="1" applyProtection="1">
      <alignment horizontal="center" vertical="top" wrapText="1"/>
    </xf>
    <xf numFmtId="1" fontId="1" fillId="0" borderId="1" xfId="14" applyNumberFormat="1" applyFont="1" applyFill="1" applyBorder="1" applyAlignment="1">
      <alignment horizontal="right" vertical="top" indent="4"/>
    </xf>
    <xf numFmtId="10" fontId="0" fillId="0" borderId="1" xfId="1" applyNumberFormat="1" applyFont="1" applyFill="1" applyBorder="1" applyProtection="1">
      <protection locked="0"/>
    </xf>
    <xf numFmtId="0" fontId="1" fillId="0" borderId="0" xfId="14" applyFont="1" applyFill="1" applyAlignment="1">
      <alignment horizontal="right" vertical="top"/>
    </xf>
    <xf numFmtId="0" fontId="5" fillId="0" borderId="1" xfId="0" applyFont="1" applyFill="1" applyBorder="1" applyAlignment="1" applyProtection="1">
      <alignment horizontal="center" vertical="top" wrapText="1"/>
    </xf>
    <xf numFmtId="0" fontId="22" fillId="0" borderId="1" xfId="0" applyFont="1" applyFill="1" applyBorder="1" applyAlignment="1" applyProtection="1">
      <alignment horizontal="center" vertical="top" wrapText="1"/>
    </xf>
    <xf numFmtId="0" fontId="22" fillId="0" borderId="0" xfId="0" applyFont="1" applyFill="1" applyBorder="1" applyAlignment="1" applyProtection="1">
      <alignment horizontal="center" vertical="top" wrapText="1"/>
    </xf>
    <xf numFmtId="0" fontId="12" fillId="0" borderId="0" xfId="0" applyFont="1" applyFill="1" applyBorder="1" applyAlignment="1">
      <alignment horizontal="justify" vertical="top" wrapText="1"/>
    </xf>
    <xf numFmtId="0" fontId="22" fillId="0" borderId="1" xfId="0" applyFont="1" applyFill="1" applyBorder="1" applyAlignment="1">
      <alignment horizontal="center" vertical="top" wrapText="1"/>
    </xf>
    <xf numFmtId="0" fontId="5" fillId="0" borderId="1" xfId="0" applyFont="1" applyFill="1" applyBorder="1" applyAlignment="1">
      <alignment horizontal="center" vertical="top" wrapText="1"/>
    </xf>
    <xf numFmtId="0" fontId="5" fillId="0" borderId="2" xfId="0" applyFont="1" applyFill="1" applyBorder="1" applyAlignment="1">
      <alignment horizontal="center" vertical="top"/>
    </xf>
    <xf numFmtId="0" fontId="5" fillId="0" borderId="3" xfId="0" applyFont="1" applyFill="1" applyBorder="1" applyAlignment="1">
      <alignment horizontal="center" vertical="top"/>
    </xf>
    <xf numFmtId="0" fontId="5" fillId="0" borderId="4" xfId="0" applyFont="1" applyFill="1" applyBorder="1" applyAlignment="1">
      <alignment horizontal="center" vertical="top"/>
    </xf>
    <xf numFmtId="0" fontId="5" fillId="0" borderId="7" xfId="0" applyFont="1" applyFill="1" applyBorder="1" applyAlignment="1">
      <alignment horizontal="center" vertical="top" wrapText="1"/>
    </xf>
    <xf numFmtId="0" fontId="5" fillId="0" borderId="6" xfId="0" applyFont="1" applyFill="1" applyBorder="1" applyAlignment="1">
      <alignment horizontal="center" vertical="top" wrapText="1"/>
    </xf>
    <xf numFmtId="0" fontId="5" fillId="0" borderId="8" xfId="0" applyFont="1" applyFill="1" applyBorder="1" applyAlignment="1">
      <alignment horizontal="center" vertical="top" wrapText="1"/>
    </xf>
    <xf numFmtId="0" fontId="5" fillId="0" borderId="1" xfId="0" applyFont="1" applyFill="1" applyBorder="1" applyAlignment="1" applyProtection="1">
      <alignment horizontal="center" vertical="top" wrapText="1"/>
    </xf>
    <xf numFmtId="0" fontId="5" fillId="0" borderId="10" xfId="0" applyFont="1" applyFill="1" applyBorder="1" applyAlignment="1">
      <alignment horizontal="center" vertical="top" wrapText="1"/>
    </xf>
    <xf numFmtId="0" fontId="5" fillId="0" borderId="11" xfId="0" applyFont="1" applyFill="1" applyBorder="1" applyAlignment="1">
      <alignment horizontal="center" vertical="top" wrapText="1"/>
    </xf>
    <xf numFmtId="0" fontId="5" fillId="0" borderId="12" xfId="0" applyFont="1" applyFill="1" applyBorder="1" applyAlignment="1">
      <alignment horizontal="center" vertical="top" wrapText="1"/>
    </xf>
    <xf numFmtId="0" fontId="12" fillId="0" borderId="0" xfId="0" applyFont="1" applyFill="1" applyBorder="1" applyAlignment="1">
      <alignment horizontal="left" vertical="top" wrapText="1"/>
    </xf>
    <xf numFmtId="0" fontId="6" fillId="0" borderId="0" xfId="0" applyFont="1" applyFill="1" applyAlignment="1">
      <alignment horizontal="left" vertical="top" wrapText="1"/>
    </xf>
    <xf numFmtId="0" fontId="5" fillId="0" borderId="1" xfId="0" applyFont="1" applyFill="1" applyBorder="1" applyAlignment="1" applyProtection="1">
      <alignment horizontal="center" vertical="top"/>
    </xf>
    <xf numFmtId="0" fontId="12" fillId="0" borderId="0" xfId="0" applyFont="1" applyFill="1" applyBorder="1" applyAlignment="1">
      <alignment horizontal="justify" vertical="top" wrapText="1"/>
    </xf>
    <xf numFmtId="0" fontId="22" fillId="0" borderId="1" xfId="0" applyFont="1" applyFill="1" applyBorder="1" applyAlignment="1" applyProtection="1">
      <alignment horizontal="center" vertical="top" wrapText="1"/>
    </xf>
    <xf numFmtId="0" fontId="22" fillId="0" borderId="7" xfId="0" applyFont="1" applyFill="1" applyBorder="1" applyAlignment="1">
      <alignment horizontal="center" vertical="top" wrapText="1"/>
    </xf>
    <xf numFmtId="0" fontId="22" fillId="0" borderId="6" xfId="0" applyFont="1" applyFill="1" applyBorder="1" applyAlignment="1">
      <alignment horizontal="center" vertical="top" wrapText="1"/>
    </xf>
    <xf numFmtId="0" fontId="22" fillId="0" borderId="8" xfId="0" applyFont="1" applyFill="1" applyBorder="1" applyAlignment="1">
      <alignment horizontal="center" vertical="top" wrapText="1"/>
    </xf>
    <xf numFmtId="0" fontId="22" fillId="0" borderId="10" xfId="0" applyFont="1" applyFill="1" applyBorder="1" applyAlignment="1">
      <alignment horizontal="center" vertical="top" wrapText="1"/>
    </xf>
    <xf numFmtId="0" fontId="22" fillId="0" borderId="11" xfId="0" applyFont="1" applyFill="1" applyBorder="1" applyAlignment="1">
      <alignment horizontal="center" vertical="top" wrapText="1"/>
    </xf>
    <xf numFmtId="0" fontId="22" fillId="0" borderId="12" xfId="0" applyFont="1" applyFill="1" applyBorder="1" applyAlignment="1">
      <alignment horizontal="center" vertical="top" wrapText="1"/>
    </xf>
    <xf numFmtId="0" fontId="22" fillId="0" borderId="5" xfId="0" applyFont="1" applyFill="1" applyBorder="1" applyAlignment="1" applyProtection="1">
      <alignment horizontal="center" vertical="top"/>
    </xf>
    <xf numFmtId="0" fontId="22" fillId="0" borderId="0" xfId="0" applyFont="1" applyFill="1" applyBorder="1" applyAlignment="1" applyProtection="1">
      <alignment horizontal="center" vertical="top" wrapText="1"/>
    </xf>
    <xf numFmtId="0" fontId="22" fillId="0" borderId="1" xfId="0" applyFont="1" applyFill="1" applyBorder="1" applyAlignment="1" applyProtection="1">
      <alignment horizontal="center" vertical="top"/>
    </xf>
    <xf numFmtId="0" fontId="22" fillId="0" borderId="1" xfId="0" applyFont="1" applyFill="1" applyBorder="1" applyAlignment="1">
      <alignment horizontal="center" vertical="top" wrapText="1"/>
    </xf>
    <xf numFmtId="0" fontId="5" fillId="0" borderId="1" xfId="0" applyFont="1" applyFill="1" applyBorder="1" applyAlignment="1">
      <alignment horizontal="center" vertical="top" wrapText="1"/>
    </xf>
    <xf numFmtId="0" fontId="5" fillId="0" borderId="0" xfId="0" applyFont="1" applyFill="1" applyBorder="1" applyAlignment="1" applyProtection="1">
      <alignment horizontal="center" vertical="top" wrapText="1"/>
    </xf>
    <xf numFmtId="0" fontId="5" fillId="0" borderId="12" xfId="0" applyFont="1" applyFill="1" applyBorder="1" applyAlignment="1" applyProtection="1">
      <alignment horizontal="center" vertical="top" wrapText="1"/>
    </xf>
    <xf numFmtId="0" fontId="5" fillId="0" borderId="5" xfId="0" applyFont="1" applyFill="1" applyBorder="1" applyAlignment="1" applyProtection="1">
      <alignment horizontal="center" vertical="top" wrapText="1"/>
    </xf>
    <xf numFmtId="165" fontId="0" fillId="0" borderId="0" xfId="0" applyNumberFormat="1" applyFill="1" applyBorder="1" applyAlignment="1" applyProtection="1">
      <alignment horizontal="center" vertical="center" wrapText="1"/>
      <protection locked="0"/>
    </xf>
    <xf numFmtId="0" fontId="5" fillId="0" borderId="3" xfId="0" applyFont="1" applyFill="1" applyBorder="1" applyAlignment="1" applyProtection="1">
      <alignment horizontal="center" vertical="top" wrapText="1"/>
    </xf>
    <xf numFmtId="0" fontId="5" fillId="0" borderId="4" xfId="0" applyFont="1" applyFill="1" applyBorder="1" applyAlignment="1" applyProtection="1">
      <alignment horizontal="center" vertical="top" wrapText="1"/>
    </xf>
    <xf numFmtId="165" fontId="0" fillId="0" borderId="1" xfId="0" applyNumberFormat="1" applyFill="1" applyBorder="1" applyAlignment="1" applyProtection="1">
      <alignment horizontal="center" vertical="top" wrapText="1"/>
      <protection locked="0"/>
    </xf>
    <xf numFmtId="165" fontId="0" fillId="0" borderId="1" xfId="0" applyNumberFormat="1" applyFont="1" applyFill="1" applyBorder="1" applyAlignment="1" applyProtection="1">
      <alignment horizontal="center" vertical="top" wrapText="1"/>
      <protection locked="0"/>
    </xf>
    <xf numFmtId="0" fontId="8" fillId="0" borderId="12" xfId="0" applyFont="1" applyFill="1" applyBorder="1" applyAlignment="1" applyProtection="1">
      <alignment horizontal="center" vertical="top" wrapText="1"/>
    </xf>
    <xf numFmtId="0" fontId="8" fillId="0" borderId="5" xfId="0" applyFont="1" applyFill="1" applyBorder="1" applyAlignment="1" applyProtection="1">
      <alignment horizontal="center" vertical="top" wrapText="1"/>
    </xf>
    <xf numFmtId="0" fontId="21" fillId="0" borderId="5" xfId="14" applyFont="1" applyFill="1" applyBorder="1" applyAlignment="1">
      <alignment horizontal="center" vertical="top"/>
    </xf>
    <xf numFmtId="0" fontId="8" fillId="0" borderId="5" xfId="0" applyFont="1" applyFill="1" applyBorder="1" applyAlignment="1">
      <alignment horizontal="center"/>
    </xf>
  </cellXfs>
  <cellStyles count="18">
    <cellStyle name="Comma 2" xfId="2"/>
    <cellStyle name="Comma 3" xfId="3"/>
    <cellStyle name="Comma 4" xfId="4"/>
    <cellStyle name="Comma 5" xfId="9"/>
    <cellStyle name="Normal" xfId="0" builtinId="0"/>
    <cellStyle name="Normal 2" xfId="5"/>
    <cellStyle name="Normal 3" xfId="6"/>
    <cellStyle name="Normal 4" xfId="7"/>
    <cellStyle name="Normal 4 2" xfId="13"/>
    <cellStyle name="Normal 4 2 2" xfId="17"/>
    <cellStyle name="Normal 5" xfId="8"/>
    <cellStyle name="Normal 6" xfId="10"/>
    <cellStyle name="Normal 6 2" xfId="12"/>
    <cellStyle name="Normal 6 2 2" xfId="16"/>
    <cellStyle name="Normal 6 3" xfId="14"/>
    <cellStyle name="Percent" xfId="1" builtinId="5"/>
    <cellStyle name="Percent 2" xfId="11"/>
    <cellStyle name="Percent 2 2" xfId="15"/>
  </cellStyles>
  <dxfs count="1">
    <dxf>
      <fill>
        <patternFill patternType="none">
          <fgColor indexed="64"/>
          <bgColor indexed="65"/>
        </patternFill>
      </fill>
    </dxf>
  </dxfs>
  <tableStyles count="0" defaultTableStyle="TableStyleMedium9" defaultPivotStyle="PivotStyleLight16"/>
  <colors>
    <mruColors>
      <color rgb="FFCC3300"/>
      <color rgb="FF6600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40"/>
  <sheetViews>
    <sheetView view="pageBreakPreview" zoomScale="115" zoomScaleSheetLayoutView="115" workbookViewId="0">
      <pane xSplit="2" ySplit="4" topLeftCell="C56" activePane="bottomRight" state="frozen"/>
      <selection activeCell="B31" sqref="B31"/>
      <selection pane="topRight" activeCell="B31" sqref="B31"/>
      <selection pane="bottomLeft" activeCell="B31" sqref="B31"/>
      <selection pane="bottomRight" activeCell="C61" sqref="C61"/>
    </sheetView>
  </sheetViews>
  <sheetFormatPr defaultColWidth="8.85546875" defaultRowHeight="12.75" x14ac:dyDescent="0.25"/>
  <cols>
    <col min="1" max="1" width="4.85546875" style="6" customWidth="1"/>
    <col min="2" max="2" width="26.140625" style="3" customWidth="1"/>
    <col min="3" max="3" width="11.28515625" style="6" customWidth="1"/>
    <col min="4" max="4" width="9.5703125" style="3" customWidth="1"/>
    <col min="5" max="5" width="10.140625" style="6" customWidth="1"/>
    <col min="6" max="6" width="11.28515625" style="3" customWidth="1"/>
    <col min="7" max="7" width="12.28515625" style="3" customWidth="1"/>
    <col min="8" max="9" width="9.7109375" style="3" customWidth="1"/>
    <col min="10" max="10" width="8" style="6" customWidth="1"/>
    <col min="11" max="11" width="11.7109375" style="3" customWidth="1"/>
    <col min="12" max="12" width="10.42578125" style="6" customWidth="1"/>
    <col min="13" max="14" width="9.85546875" style="3" customWidth="1"/>
    <col min="15" max="15" width="11.42578125" style="3" customWidth="1"/>
    <col min="16" max="19" width="8.85546875" style="3" customWidth="1"/>
    <col min="20" max="20" width="8.85546875" style="3"/>
    <col min="21" max="21" width="11" style="3" bestFit="1" customWidth="1"/>
    <col min="22" max="16384" width="8.85546875" style="3"/>
  </cols>
  <sheetData>
    <row r="1" spans="1:18" ht="15.75" customHeight="1" x14ac:dyDescent="0.25">
      <c r="A1" s="234" t="s">
        <v>321</v>
      </c>
      <c r="B1" s="235"/>
      <c r="C1" s="235"/>
      <c r="D1" s="235"/>
      <c r="E1" s="235"/>
      <c r="F1" s="235"/>
      <c r="G1" s="235"/>
      <c r="H1" s="235"/>
      <c r="I1" s="235"/>
      <c r="J1" s="235"/>
      <c r="K1" s="235"/>
      <c r="L1" s="235"/>
      <c r="M1" s="235"/>
      <c r="N1" s="235"/>
      <c r="O1" s="236"/>
    </row>
    <row r="2" spans="1:18" ht="13.9" customHeight="1" x14ac:dyDescent="0.25">
      <c r="A2" s="37" t="s">
        <v>53</v>
      </c>
      <c r="B2" s="237" t="s">
        <v>1</v>
      </c>
      <c r="C2" s="240" t="s">
        <v>99</v>
      </c>
      <c r="D2" s="237" t="s">
        <v>108</v>
      </c>
      <c r="E2" s="237" t="s">
        <v>109</v>
      </c>
      <c r="F2" s="241" t="s">
        <v>195</v>
      </c>
      <c r="G2" s="237" t="s">
        <v>191</v>
      </c>
      <c r="H2" s="237" t="s">
        <v>55</v>
      </c>
      <c r="I2" s="237" t="s">
        <v>234</v>
      </c>
      <c r="J2" s="237" t="s">
        <v>3</v>
      </c>
      <c r="K2" s="237" t="s">
        <v>244</v>
      </c>
      <c r="L2" s="237" t="s">
        <v>284</v>
      </c>
      <c r="M2" s="237" t="s">
        <v>48</v>
      </c>
      <c r="N2" s="237" t="s">
        <v>100</v>
      </c>
      <c r="O2" s="237" t="s">
        <v>52</v>
      </c>
    </row>
    <row r="3" spans="1:18" ht="25.5" customHeight="1" x14ac:dyDescent="0.25">
      <c r="A3" s="37"/>
      <c r="B3" s="238"/>
      <c r="C3" s="240"/>
      <c r="D3" s="238"/>
      <c r="E3" s="238"/>
      <c r="F3" s="242"/>
      <c r="G3" s="239"/>
      <c r="H3" s="238"/>
      <c r="I3" s="238"/>
      <c r="J3" s="238"/>
      <c r="K3" s="238"/>
      <c r="L3" s="238"/>
      <c r="M3" s="238"/>
      <c r="N3" s="238"/>
      <c r="O3" s="238"/>
    </row>
    <row r="4" spans="1:18" ht="39.75" customHeight="1" x14ac:dyDescent="0.25">
      <c r="A4" s="37"/>
      <c r="B4" s="239"/>
      <c r="C4" s="240"/>
      <c r="D4" s="239"/>
      <c r="E4" s="239"/>
      <c r="F4" s="243"/>
      <c r="G4" s="145" t="s">
        <v>4</v>
      </c>
      <c r="H4" s="239"/>
      <c r="I4" s="239"/>
      <c r="J4" s="239"/>
      <c r="K4" s="239"/>
      <c r="L4" s="239"/>
      <c r="M4" s="239"/>
      <c r="N4" s="239"/>
      <c r="O4" s="239"/>
    </row>
    <row r="5" spans="1:18" ht="26.25" customHeight="1" x14ac:dyDescent="0.25">
      <c r="A5" s="145" t="s">
        <v>5</v>
      </c>
      <c r="B5" s="145" t="s">
        <v>6</v>
      </c>
      <c r="C5" s="145" t="s">
        <v>7</v>
      </c>
      <c r="D5" s="145" t="s">
        <v>8</v>
      </c>
      <c r="E5" s="145" t="s">
        <v>9</v>
      </c>
      <c r="F5" s="145" t="s">
        <v>10</v>
      </c>
      <c r="G5" s="145" t="s">
        <v>190</v>
      </c>
      <c r="H5" s="145" t="s">
        <v>189</v>
      </c>
      <c r="I5" s="145" t="s">
        <v>11</v>
      </c>
      <c r="J5" s="145" t="s">
        <v>12</v>
      </c>
      <c r="K5" s="145" t="s">
        <v>13</v>
      </c>
      <c r="L5" s="145" t="s">
        <v>14</v>
      </c>
      <c r="M5" s="145" t="s">
        <v>96</v>
      </c>
      <c r="N5" s="145" t="s">
        <v>235</v>
      </c>
      <c r="O5" s="145" t="s">
        <v>236</v>
      </c>
    </row>
    <row r="6" spans="1:18" s="65" customFormat="1" ht="15.75" customHeight="1" x14ac:dyDescent="0.25">
      <c r="A6" s="180">
        <v>1</v>
      </c>
      <c r="B6" s="63" t="s">
        <v>179</v>
      </c>
      <c r="C6" s="64">
        <v>4.38</v>
      </c>
      <c r="D6" s="181"/>
      <c r="E6" s="64">
        <f t="shared" ref="E6:E49" si="0">C6+D6</f>
        <v>4.38</v>
      </c>
      <c r="F6" s="178"/>
      <c r="G6" s="64">
        <f t="shared" ref="G6:G69" si="1">E6/((100%-F6))</f>
        <v>4.38</v>
      </c>
      <c r="H6" s="62"/>
      <c r="I6" s="64">
        <f>VLOOKUP(B6,'fixed cost'!$B$4:$R$116,17,0)</f>
        <v>0</v>
      </c>
      <c r="J6" s="62"/>
      <c r="K6" s="62"/>
      <c r="L6" s="62"/>
      <c r="M6" s="62"/>
      <c r="N6" s="62"/>
      <c r="O6" s="64">
        <f t="shared" ref="O6:O69" si="2">SUM(G6:N6)</f>
        <v>4.38</v>
      </c>
      <c r="P6" s="64">
        <v>4.38</v>
      </c>
      <c r="Q6" s="188">
        <f t="shared" ref="Q6:Q69" si="3">C6-P6</f>
        <v>0</v>
      </c>
      <c r="R6" s="189">
        <f t="shared" ref="R6:R69" si="4">Q6/P6</f>
        <v>0</v>
      </c>
    </row>
    <row r="7" spans="1:18" s="57" customFormat="1" ht="16.5" customHeight="1" x14ac:dyDescent="0.25">
      <c r="A7" s="2">
        <f>A6+1</f>
        <v>2</v>
      </c>
      <c r="B7" s="4" t="s">
        <v>24</v>
      </c>
      <c r="C7" s="1">
        <v>1.829</v>
      </c>
      <c r="D7" s="15">
        <v>0</v>
      </c>
      <c r="E7" s="1">
        <f t="shared" si="0"/>
        <v>1.829</v>
      </c>
      <c r="F7" s="7"/>
      <c r="G7" s="1">
        <f t="shared" si="1"/>
        <v>1.829</v>
      </c>
      <c r="H7" s="2"/>
      <c r="I7" s="1">
        <f>VLOOKUP(B7,'fixed cost'!$B$4:$R$116,17,0)</f>
        <v>0</v>
      </c>
      <c r="J7" s="2"/>
      <c r="K7" s="2"/>
      <c r="L7" s="2"/>
      <c r="M7" s="2"/>
      <c r="N7" s="2"/>
      <c r="O7" s="1">
        <f t="shared" si="2"/>
        <v>1.829</v>
      </c>
      <c r="P7" s="1">
        <v>1.913</v>
      </c>
      <c r="Q7" s="188">
        <f t="shared" si="3"/>
        <v>-8.4000000000000075E-2</v>
      </c>
      <c r="R7" s="189">
        <f t="shared" si="4"/>
        <v>-4.3910088865656074E-2</v>
      </c>
    </row>
    <row r="8" spans="1:18" s="61" customFormat="1" x14ac:dyDescent="0.25">
      <c r="A8" s="58">
        <v>2</v>
      </c>
      <c r="B8" s="59" t="s">
        <v>24</v>
      </c>
      <c r="C8" s="60">
        <f>C7</f>
        <v>1.829</v>
      </c>
      <c r="D8" s="85"/>
      <c r="E8" s="60">
        <f t="shared" si="0"/>
        <v>1.829</v>
      </c>
      <c r="F8" s="124"/>
      <c r="G8" s="60">
        <f t="shared" si="1"/>
        <v>1.829</v>
      </c>
      <c r="H8" s="58"/>
      <c r="I8" s="60">
        <f>VLOOKUP(B8,'fixed cost'!$B$4:$R$116,17,0)</f>
        <v>0</v>
      </c>
      <c r="J8" s="58"/>
      <c r="K8" s="58"/>
      <c r="L8" s="58"/>
      <c r="M8" s="58"/>
      <c r="N8" s="58">
        <v>0.55000000000000004</v>
      </c>
      <c r="O8" s="60">
        <f t="shared" si="2"/>
        <v>2.379</v>
      </c>
      <c r="P8" s="60">
        <v>1.913</v>
      </c>
      <c r="Q8" s="188">
        <f t="shared" si="3"/>
        <v>-8.4000000000000075E-2</v>
      </c>
      <c r="R8" s="189">
        <f t="shared" si="4"/>
        <v>-4.3910088865656074E-2</v>
      </c>
    </row>
    <row r="9" spans="1:18" s="61" customFormat="1" ht="15.75" customHeight="1" x14ac:dyDescent="0.25">
      <c r="A9" s="146">
        <v>2</v>
      </c>
      <c r="B9" s="147" t="s">
        <v>24</v>
      </c>
      <c r="C9" s="148">
        <f>C8</f>
        <v>1.829</v>
      </c>
      <c r="D9" s="149"/>
      <c r="E9" s="148">
        <f t="shared" si="0"/>
        <v>1.829</v>
      </c>
      <c r="F9" s="150"/>
      <c r="G9" s="148">
        <f t="shared" si="1"/>
        <v>1.829</v>
      </c>
      <c r="H9" s="146"/>
      <c r="I9" s="148">
        <f>VLOOKUP(B9,'fixed cost'!$B$4:$R$116,17,0)</f>
        <v>0</v>
      </c>
      <c r="J9" s="146"/>
      <c r="K9" s="146"/>
      <c r="L9" s="146"/>
      <c r="M9" s="146"/>
      <c r="N9" s="146">
        <v>0.75</v>
      </c>
      <c r="O9" s="148">
        <f t="shared" si="2"/>
        <v>2.5789999999999997</v>
      </c>
      <c r="P9" s="148">
        <v>1.913</v>
      </c>
      <c r="Q9" s="188">
        <f t="shared" si="3"/>
        <v>-8.4000000000000075E-2</v>
      </c>
      <c r="R9" s="189">
        <f t="shared" si="4"/>
        <v>-4.3910088865656074E-2</v>
      </c>
    </row>
    <row r="10" spans="1:18" s="99" customFormat="1" ht="15.75" customHeight="1" x14ac:dyDescent="0.25">
      <c r="A10" s="96">
        <v>3</v>
      </c>
      <c r="B10" s="97" t="s">
        <v>42</v>
      </c>
      <c r="C10" s="98">
        <v>0.60199999999999998</v>
      </c>
      <c r="D10" s="96"/>
      <c r="E10" s="98">
        <f t="shared" si="0"/>
        <v>0.60199999999999998</v>
      </c>
      <c r="F10" s="96"/>
      <c r="G10" s="98">
        <f t="shared" si="1"/>
        <v>0.60199999999999998</v>
      </c>
      <c r="H10" s="96"/>
      <c r="I10" s="98">
        <f>VLOOKUP(B10,'fixed cost'!$B$4:$R$116,17,0)</f>
        <v>0</v>
      </c>
      <c r="J10" s="96"/>
      <c r="K10" s="96"/>
      <c r="L10" s="96"/>
      <c r="M10" s="96"/>
      <c r="N10" s="96"/>
      <c r="O10" s="98">
        <f t="shared" si="2"/>
        <v>0.60199999999999998</v>
      </c>
      <c r="P10" s="98">
        <v>0.60199999999999998</v>
      </c>
      <c r="Q10" s="188">
        <f t="shared" si="3"/>
        <v>0</v>
      </c>
      <c r="R10" s="189">
        <f t="shared" si="4"/>
        <v>0</v>
      </c>
    </row>
    <row r="11" spans="1:18" s="99" customFormat="1" ht="15.75" customHeight="1" x14ac:dyDescent="0.25">
      <c r="A11" s="96">
        <f>+A10+1</f>
        <v>4</v>
      </c>
      <c r="B11" s="97" t="s">
        <v>44</v>
      </c>
      <c r="C11" s="98">
        <v>0.45700000000000002</v>
      </c>
      <c r="D11" s="96"/>
      <c r="E11" s="98">
        <f t="shared" si="0"/>
        <v>0.45700000000000002</v>
      </c>
      <c r="F11" s="96"/>
      <c r="G11" s="98">
        <f t="shared" si="1"/>
        <v>0.45700000000000002</v>
      </c>
      <c r="H11" s="96"/>
      <c r="I11" s="98">
        <f>VLOOKUP(B11,'fixed cost'!$B$4:$R$116,17,0)</f>
        <v>0</v>
      </c>
      <c r="J11" s="96"/>
      <c r="K11" s="96"/>
      <c r="L11" s="96"/>
      <c r="M11" s="96"/>
      <c r="N11" s="96"/>
      <c r="O11" s="98">
        <f t="shared" si="2"/>
        <v>0.45700000000000002</v>
      </c>
      <c r="P11" s="98">
        <v>0.45700000000000002</v>
      </c>
      <c r="Q11" s="188">
        <f t="shared" si="3"/>
        <v>0</v>
      </c>
      <c r="R11" s="189">
        <f t="shared" si="4"/>
        <v>0</v>
      </c>
    </row>
    <row r="12" spans="1:18" s="99" customFormat="1" ht="15.75" customHeight="1" x14ac:dyDescent="0.25">
      <c r="A12" s="96">
        <f>+A11+1</f>
        <v>5</v>
      </c>
      <c r="B12" s="97" t="s">
        <v>39</v>
      </c>
      <c r="C12" s="98">
        <v>0.72199999999999998</v>
      </c>
      <c r="D12" s="96"/>
      <c r="E12" s="98">
        <f t="shared" si="0"/>
        <v>0.72199999999999998</v>
      </c>
      <c r="F12" s="96"/>
      <c r="G12" s="98">
        <f t="shared" si="1"/>
        <v>0.72199999999999998</v>
      </c>
      <c r="H12" s="96"/>
      <c r="I12" s="98">
        <f>VLOOKUP(B12,'fixed cost'!$B$4:$R$116,17,0)</f>
        <v>0</v>
      </c>
      <c r="J12" s="96"/>
      <c r="K12" s="96"/>
      <c r="L12" s="96"/>
      <c r="M12" s="96"/>
      <c r="N12" s="96"/>
      <c r="O12" s="98">
        <f t="shared" si="2"/>
        <v>0.72199999999999998</v>
      </c>
      <c r="P12" s="98">
        <v>0.72199999999999998</v>
      </c>
      <c r="Q12" s="188">
        <f t="shared" si="3"/>
        <v>0</v>
      </c>
      <c r="R12" s="189">
        <f t="shared" si="4"/>
        <v>0</v>
      </c>
    </row>
    <row r="13" spans="1:18" s="99" customFormat="1" ht="15.75" customHeight="1" x14ac:dyDescent="0.25">
      <c r="A13" s="96">
        <f>+A12+1</f>
        <v>6</v>
      </c>
      <c r="B13" s="97" t="s">
        <v>47</v>
      </c>
      <c r="C13" s="98">
        <v>0.19</v>
      </c>
      <c r="D13" s="96"/>
      <c r="E13" s="98">
        <f t="shared" si="0"/>
        <v>0.19</v>
      </c>
      <c r="F13" s="96"/>
      <c r="G13" s="98">
        <f t="shared" si="1"/>
        <v>0.19</v>
      </c>
      <c r="H13" s="96"/>
      <c r="I13" s="98">
        <f>VLOOKUP(B13,'fixed cost'!$B$4:$R$116,17,0)</f>
        <v>0</v>
      </c>
      <c r="J13" s="96"/>
      <c r="K13" s="96"/>
      <c r="L13" s="96"/>
      <c r="M13" s="96"/>
      <c r="N13" s="96"/>
      <c r="O13" s="98">
        <f t="shared" si="2"/>
        <v>0.19</v>
      </c>
      <c r="P13" s="98">
        <v>0.19</v>
      </c>
      <c r="Q13" s="188">
        <f t="shared" si="3"/>
        <v>0</v>
      </c>
      <c r="R13" s="189">
        <f t="shared" si="4"/>
        <v>0</v>
      </c>
    </row>
    <row r="14" spans="1:18" s="99" customFormat="1" ht="13.5" customHeight="1" x14ac:dyDescent="0.25">
      <c r="A14" s="96">
        <f>+A13+1</f>
        <v>7</v>
      </c>
      <c r="B14" s="97" t="s">
        <v>41</v>
      </c>
      <c r="C14" s="98">
        <v>0.58899999999999997</v>
      </c>
      <c r="D14" s="96"/>
      <c r="E14" s="98">
        <f t="shared" si="0"/>
        <v>0.58899999999999997</v>
      </c>
      <c r="F14" s="96"/>
      <c r="G14" s="98">
        <f t="shared" si="1"/>
        <v>0.58899999999999997</v>
      </c>
      <c r="H14" s="96"/>
      <c r="I14" s="98">
        <f>VLOOKUP(B14,'fixed cost'!$B$4:$R$116,17,0)</f>
        <v>0</v>
      </c>
      <c r="J14" s="96"/>
      <c r="K14" s="96"/>
      <c r="L14" s="96"/>
      <c r="M14" s="96"/>
      <c r="N14" s="96"/>
      <c r="O14" s="98">
        <f t="shared" si="2"/>
        <v>0.58899999999999997</v>
      </c>
      <c r="P14" s="98">
        <v>0.58899999999999997</v>
      </c>
      <c r="Q14" s="188">
        <f t="shared" si="3"/>
        <v>0</v>
      </c>
      <c r="R14" s="189">
        <f t="shared" si="4"/>
        <v>0</v>
      </c>
    </row>
    <row r="15" spans="1:18" ht="15" customHeight="1" x14ac:dyDescent="0.25">
      <c r="A15" s="2">
        <v>8</v>
      </c>
      <c r="B15" s="4" t="s">
        <v>279</v>
      </c>
      <c r="C15" s="1">
        <v>3.7519999999999998</v>
      </c>
      <c r="D15" s="1"/>
      <c r="E15" s="1">
        <f t="shared" si="0"/>
        <v>3.7519999999999998</v>
      </c>
      <c r="F15" s="7"/>
      <c r="G15" s="1">
        <f t="shared" si="1"/>
        <v>3.7519999999999998</v>
      </c>
      <c r="H15" s="5">
        <v>0.15</v>
      </c>
      <c r="I15" s="1">
        <f>VLOOKUP(B15,'fixed cost'!$B$4:$R$116,17,0)</f>
        <v>8.0009999999999998E-2</v>
      </c>
      <c r="J15" s="2"/>
      <c r="K15" s="2"/>
      <c r="L15" s="2"/>
      <c r="M15" s="2"/>
      <c r="N15" s="2"/>
      <c r="O15" s="1">
        <f t="shared" si="2"/>
        <v>3.9820099999999998</v>
      </c>
      <c r="P15" s="1">
        <v>3.7610000000000001</v>
      </c>
      <c r="Q15" s="188">
        <f t="shared" si="3"/>
        <v>-9.0000000000003411E-3</v>
      </c>
      <c r="R15" s="189">
        <f t="shared" si="4"/>
        <v>-2.3929805902686363E-3</v>
      </c>
    </row>
    <row r="16" spans="1:18" s="65" customFormat="1" ht="15.75" customHeight="1" x14ac:dyDescent="0.25">
      <c r="A16" s="62">
        <v>9</v>
      </c>
      <c r="B16" s="63" t="s">
        <v>127</v>
      </c>
      <c r="C16" s="64">
        <v>4.0369999999999999</v>
      </c>
      <c r="D16" s="64"/>
      <c r="E16" s="64">
        <f t="shared" si="0"/>
        <v>4.0369999999999999</v>
      </c>
      <c r="F16" s="178"/>
      <c r="G16" s="64">
        <f t="shared" si="1"/>
        <v>4.0369999999999999</v>
      </c>
      <c r="H16" s="179">
        <v>0.15</v>
      </c>
      <c r="I16" s="64">
        <f>VLOOKUP(B16,'fixed cost'!$B$4:$R$116,17,0)</f>
        <v>8.0009999999999998E-2</v>
      </c>
      <c r="J16" s="62"/>
      <c r="K16" s="62"/>
      <c r="L16" s="62"/>
      <c r="M16" s="62"/>
      <c r="N16" s="62"/>
      <c r="O16" s="64">
        <f t="shared" si="2"/>
        <v>4.26701</v>
      </c>
      <c r="P16" s="64">
        <v>4.0369999999999999</v>
      </c>
      <c r="Q16" s="188">
        <f t="shared" si="3"/>
        <v>0</v>
      </c>
      <c r="R16" s="189">
        <f t="shared" si="4"/>
        <v>0</v>
      </c>
    </row>
    <row r="17" spans="1:18" s="65" customFormat="1" ht="15.75" customHeight="1" x14ac:dyDescent="0.25">
      <c r="A17" s="62">
        <v>10</v>
      </c>
      <c r="B17" s="63" t="s">
        <v>187</v>
      </c>
      <c r="C17" s="64">
        <v>2.7450000000000001</v>
      </c>
      <c r="D17" s="64"/>
      <c r="E17" s="64">
        <f t="shared" si="0"/>
        <v>2.7450000000000001</v>
      </c>
      <c r="F17" s="178">
        <v>4.4200000000000003E-2</v>
      </c>
      <c r="G17" s="64">
        <f t="shared" si="1"/>
        <v>2.871939736346516</v>
      </c>
      <c r="H17" s="179"/>
      <c r="I17" s="64">
        <f>VLOOKUP(B17,'fixed cost'!$B$4:$R$116,17,0)</f>
        <v>0</v>
      </c>
      <c r="J17" s="62"/>
      <c r="K17" s="62">
        <v>2.4E-2</v>
      </c>
      <c r="L17" s="62"/>
      <c r="M17" s="62"/>
      <c r="N17" s="62"/>
      <c r="O17" s="64">
        <f t="shared" si="2"/>
        <v>2.895939736346516</v>
      </c>
      <c r="P17" s="64">
        <v>2.7450000000000001</v>
      </c>
      <c r="Q17" s="188">
        <f t="shared" si="3"/>
        <v>0</v>
      </c>
      <c r="R17" s="189">
        <f t="shared" si="4"/>
        <v>0</v>
      </c>
    </row>
    <row r="18" spans="1:18" ht="15.75" customHeight="1" x14ac:dyDescent="0.25">
      <c r="A18" s="2">
        <v>11</v>
      </c>
      <c r="B18" s="4" t="s">
        <v>188</v>
      </c>
      <c r="C18" s="1">
        <v>3.085</v>
      </c>
      <c r="D18" s="1">
        <v>0.16500000000000001</v>
      </c>
      <c r="E18" s="1">
        <f t="shared" si="0"/>
        <v>3.25</v>
      </c>
      <c r="F18" s="7">
        <f t="shared" ref="F18:F29" si="5">F17</f>
        <v>4.4200000000000003E-2</v>
      </c>
      <c r="G18" s="1">
        <f t="shared" si="1"/>
        <v>3.4002929483155473</v>
      </c>
      <c r="H18" s="5"/>
      <c r="I18" s="1">
        <f>VLOOKUP(B18,'fixed cost'!$B$4:$R$116,17,0)</f>
        <v>0</v>
      </c>
      <c r="J18" s="2"/>
      <c r="K18" s="2">
        <v>0</v>
      </c>
      <c r="L18" s="2">
        <v>7.0000000000000007E-2</v>
      </c>
      <c r="M18" s="2"/>
      <c r="N18" s="2"/>
      <c r="O18" s="1">
        <f t="shared" si="2"/>
        <v>3.4702929483155471</v>
      </c>
      <c r="P18" s="1">
        <v>3.1240000000000001</v>
      </c>
      <c r="Q18" s="188">
        <f t="shared" si="3"/>
        <v>-3.9000000000000146E-2</v>
      </c>
      <c r="R18" s="189">
        <f t="shared" si="4"/>
        <v>-1.2483994878361122E-2</v>
      </c>
    </row>
    <row r="19" spans="1:18" ht="15.75" customHeight="1" x14ac:dyDescent="0.25">
      <c r="A19" s="2">
        <v>12</v>
      </c>
      <c r="B19" s="4" t="s">
        <v>282</v>
      </c>
      <c r="C19" s="1">
        <v>2.488</v>
      </c>
      <c r="D19" s="1">
        <v>-0.03</v>
      </c>
      <c r="E19" s="1">
        <f t="shared" si="0"/>
        <v>2.4580000000000002</v>
      </c>
      <c r="F19" s="7">
        <f t="shared" si="5"/>
        <v>4.4200000000000003E-2</v>
      </c>
      <c r="G19" s="1">
        <f t="shared" si="1"/>
        <v>2.5716677129106511</v>
      </c>
      <c r="H19" s="2">
        <v>0.15</v>
      </c>
      <c r="I19" s="1">
        <f>VLOOKUP(B19,'fixed cost'!$B$4:$R$116,17,0)</f>
        <v>0</v>
      </c>
      <c r="J19" s="5"/>
      <c r="K19" s="1"/>
      <c r="L19" s="1"/>
      <c r="M19" s="2"/>
      <c r="N19" s="2"/>
      <c r="O19" s="1">
        <f t="shared" si="2"/>
        <v>2.721667712910651</v>
      </c>
      <c r="P19" s="1">
        <v>2.488</v>
      </c>
      <c r="Q19" s="188">
        <f t="shared" si="3"/>
        <v>0</v>
      </c>
      <c r="R19" s="189">
        <f t="shared" si="4"/>
        <v>0</v>
      </c>
    </row>
    <row r="20" spans="1:18" ht="15.75" customHeight="1" x14ac:dyDescent="0.25">
      <c r="A20" s="2">
        <v>13</v>
      </c>
      <c r="B20" s="4" t="s">
        <v>169</v>
      </c>
      <c r="C20" s="214">
        <v>3.1190000000000002</v>
      </c>
      <c r="D20" s="9">
        <v>3.2000000000000001E-2</v>
      </c>
      <c r="E20" s="1">
        <f t="shared" si="0"/>
        <v>3.1510000000000002</v>
      </c>
      <c r="F20" s="7">
        <f t="shared" si="5"/>
        <v>4.4200000000000003E-2</v>
      </c>
      <c r="G20" s="1">
        <f t="shared" si="1"/>
        <v>3.2967147938899353</v>
      </c>
      <c r="H20" s="2">
        <v>0.15</v>
      </c>
      <c r="I20" s="1">
        <f>VLOOKUP(B20,'fixed cost'!$B$4:$R$116,17,0)</f>
        <v>5.8995000000000006E-2</v>
      </c>
      <c r="J20" s="2"/>
      <c r="K20" s="2"/>
      <c r="L20" s="2">
        <v>0.65</v>
      </c>
      <c r="M20" s="2"/>
      <c r="N20" s="2"/>
      <c r="O20" s="1">
        <f t="shared" si="2"/>
        <v>4.155709793889935</v>
      </c>
      <c r="P20" s="213">
        <v>3.137</v>
      </c>
      <c r="Q20" s="188">
        <f t="shared" si="3"/>
        <v>-1.7999999999999794E-2</v>
      </c>
      <c r="R20" s="189">
        <f t="shared" si="4"/>
        <v>-5.7379662097544765E-3</v>
      </c>
    </row>
    <row r="21" spans="1:18" s="27" customFormat="1" ht="15.75" customHeight="1" x14ac:dyDescent="0.25">
      <c r="A21" s="66">
        <f t="shared" ref="A21:A40" si="6">A20+1</f>
        <v>14</v>
      </c>
      <c r="B21" s="46" t="s">
        <v>169</v>
      </c>
      <c r="C21" s="67">
        <f>C20</f>
        <v>3.1190000000000002</v>
      </c>
      <c r="D21" s="68">
        <f>D20</f>
        <v>3.2000000000000001E-2</v>
      </c>
      <c r="E21" s="67">
        <f t="shared" si="0"/>
        <v>3.1510000000000002</v>
      </c>
      <c r="F21" s="184">
        <f t="shared" si="5"/>
        <v>4.4200000000000003E-2</v>
      </c>
      <c r="G21" s="67">
        <f t="shared" si="1"/>
        <v>3.2967147938899353</v>
      </c>
      <c r="H21" s="66">
        <f>H20</f>
        <v>0.15</v>
      </c>
      <c r="I21" s="67">
        <f>VLOOKUP(B21,'fixed cost'!$B$4:$R$116,17,0)</f>
        <v>5.8995000000000006E-2</v>
      </c>
      <c r="J21" s="66"/>
      <c r="K21" s="66"/>
      <c r="L21" s="66">
        <f>L20</f>
        <v>0.65</v>
      </c>
      <c r="M21" s="67">
        <f>VLOOKUP(B21,'fixed cost'!$B$4:$H$116,7,0)</f>
        <v>2.0601461379581085</v>
      </c>
      <c r="N21" s="67"/>
      <c r="O21" s="67">
        <f t="shared" si="2"/>
        <v>6.2158559318480435</v>
      </c>
      <c r="P21" s="67">
        <v>3.137</v>
      </c>
      <c r="Q21" s="188">
        <f t="shared" si="3"/>
        <v>-1.7999999999999794E-2</v>
      </c>
      <c r="R21" s="189">
        <f t="shared" si="4"/>
        <v>-5.7379662097544765E-3</v>
      </c>
    </row>
    <row r="22" spans="1:18" ht="15.75" customHeight="1" x14ac:dyDescent="0.25">
      <c r="A22" s="2">
        <f t="shared" si="6"/>
        <v>15</v>
      </c>
      <c r="B22" s="4" t="s">
        <v>23</v>
      </c>
      <c r="C22" s="1">
        <v>2.0979999999999999</v>
      </c>
      <c r="D22" s="1"/>
      <c r="E22" s="1">
        <f t="shared" si="0"/>
        <v>2.0979999999999999</v>
      </c>
      <c r="F22" s="7">
        <f t="shared" si="5"/>
        <v>4.4200000000000003E-2</v>
      </c>
      <c r="G22" s="1">
        <f t="shared" si="1"/>
        <v>2.1950198786356978</v>
      </c>
      <c r="H22" s="2"/>
      <c r="I22" s="1">
        <f>VLOOKUP(B22,'fixed cost'!$B$4:$R$116,17,0)</f>
        <v>0</v>
      </c>
      <c r="J22" s="2"/>
      <c r="K22" s="2"/>
      <c r="L22" s="2"/>
      <c r="M22" s="2"/>
      <c r="N22" s="2"/>
      <c r="O22" s="1">
        <f t="shared" si="2"/>
        <v>2.1950198786356978</v>
      </c>
      <c r="P22" s="1">
        <v>2.0979999999999999</v>
      </c>
      <c r="Q22" s="188">
        <f t="shared" si="3"/>
        <v>0</v>
      </c>
      <c r="R22" s="189">
        <f t="shared" si="4"/>
        <v>0</v>
      </c>
    </row>
    <row r="23" spans="1:18" s="27" customFormat="1" ht="15.75" customHeight="1" x14ac:dyDescent="0.25">
      <c r="A23" s="66">
        <f t="shared" si="6"/>
        <v>16</v>
      </c>
      <c r="B23" s="46" t="s">
        <v>23</v>
      </c>
      <c r="C23" s="67">
        <f>C22</f>
        <v>2.0979999999999999</v>
      </c>
      <c r="D23" s="68">
        <f>D22</f>
        <v>0</v>
      </c>
      <c r="E23" s="67">
        <f t="shared" si="0"/>
        <v>2.0979999999999999</v>
      </c>
      <c r="F23" s="184">
        <f t="shared" si="5"/>
        <v>4.4200000000000003E-2</v>
      </c>
      <c r="G23" s="67">
        <f t="shared" si="1"/>
        <v>2.1950198786356978</v>
      </c>
      <c r="H23" s="66"/>
      <c r="I23" s="67">
        <f>VLOOKUP(B23,'fixed cost'!$B$4:$R$116,17,0)</f>
        <v>0</v>
      </c>
      <c r="J23" s="66"/>
      <c r="K23" s="66"/>
      <c r="L23" s="66"/>
      <c r="M23" s="67">
        <f>VLOOKUP(B23,'fixed cost'!$B$4:$H$116,7,0)</f>
        <v>1.046590227201031</v>
      </c>
      <c r="N23" s="67"/>
      <c r="O23" s="67">
        <f t="shared" si="2"/>
        <v>3.2416101058367288</v>
      </c>
      <c r="P23" s="67">
        <v>2.0979999999999999</v>
      </c>
      <c r="Q23" s="188">
        <f t="shared" si="3"/>
        <v>0</v>
      </c>
      <c r="R23" s="189">
        <f t="shared" si="4"/>
        <v>0</v>
      </c>
    </row>
    <row r="24" spans="1:18" s="95" customFormat="1" ht="15.75" customHeight="1" x14ac:dyDescent="0.25">
      <c r="A24" s="92">
        <f t="shared" si="6"/>
        <v>17</v>
      </c>
      <c r="B24" s="93" t="s">
        <v>181</v>
      </c>
      <c r="C24" s="94">
        <v>8.9149999999999991</v>
      </c>
      <c r="D24" s="94"/>
      <c r="E24" s="94">
        <f t="shared" si="0"/>
        <v>8.9149999999999991</v>
      </c>
      <c r="F24" s="173">
        <f t="shared" si="5"/>
        <v>4.4200000000000003E-2</v>
      </c>
      <c r="G24" s="94">
        <f t="shared" si="1"/>
        <v>9.3272651182255704</v>
      </c>
      <c r="H24" s="100"/>
      <c r="I24" s="94">
        <f>VLOOKUP(B24,'fixed cost'!$B$4:$R$116,17,0)</f>
        <v>0</v>
      </c>
      <c r="J24" s="92"/>
      <c r="K24" s="92"/>
      <c r="L24" s="92"/>
      <c r="M24" s="94"/>
      <c r="N24" s="94"/>
      <c r="O24" s="94">
        <f t="shared" si="2"/>
        <v>9.3272651182255704</v>
      </c>
      <c r="P24" s="94">
        <v>8.9149999999999991</v>
      </c>
      <c r="Q24" s="188">
        <f t="shared" si="3"/>
        <v>0</v>
      </c>
      <c r="R24" s="189">
        <f t="shared" si="4"/>
        <v>0</v>
      </c>
    </row>
    <row r="25" spans="1:18" s="27" customFormat="1" ht="15.75" customHeight="1" x14ac:dyDescent="0.25">
      <c r="A25" s="66">
        <f t="shared" si="6"/>
        <v>18</v>
      </c>
      <c r="B25" s="46" t="s">
        <v>181</v>
      </c>
      <c r="C25" s="67">
        <f>C24</f>
        <v>8.9149999999999991</v>
      </c>
      <c r="D25" s="68">
        <f>D24</f>
        <v>0</v>
      </c>
      <c r="E25" s="67">
        <f t="shared" si="0"/>
        <v>8.9149999999999991</v>
      </c>
      <c r="F25" s="184">
        <f t="shared" si="5"/>
        <v>4.4200000000000003E-2</v>
      </c>
      <c r="G25" s="67">
        <f t="shared" si="1"/>
        <v>9.3272651182255704</v>
      </c>
      <c r="H25" s="66"/>
      <c r="I25" s="67">
        <f>VLOOKUP(B25,'fixed cost'!$B$4:$R$116,17,0)</f>
        <v>0</v>
      </c>
      <c r="J25" s="66"/>
      <c r="K25" s="66"/>
      <c r="L25" s="66"/>
      <c r="M25" s="67">
        <f>VLOOKUP(B25,'fixed cost'!$B$4:$H$116,7,0)</f>
        <v>1.046590227201031</v>
      </c>
      <c r="N25" s="67"/>
      <c r="O25" s="67">
        <f t="shared" si="2"/>
        <v>10.373855345426602</v>
      </c>
      <c r="P25" s="67">
        <v>8.9149999999999991</v>
      </c>
      <c r="Q25" s="188">
        <f t="shared" si="3"/>
        <v>0</v>
      </c>
      <c r="R25" s="189">
        <f t="shared" si="4"/>
        <v>0</v>
      </c>
    </row>
    <row r="26" spans="1:18" s="95" customFormat="1" ht="15.75" customHeight="1" x14ac:dyDescent="0.25">
      <c r="A26" s="92">
        <f t="shared" si="6"/>
        <v>19</v>
      </c>
      <c r="B26" s="93" t="s">
        <v>104</v>
      </c>
      <c r="C26" s="94">
        <v>9.6929999999999996</v>
      </c>
      <c r="D26" s="94">
        <v>3.3530000000000002</v>
      </c>
      <c r="E26" s="94">
        <f t="shared" si="0"/>
        <v>13.045999999999999</v>
      </c>
      <c r="F26" s="173">
        <f t="shared" si="5"/>
        <v>4.4200000000000003E-2</v>
      </c>
      <c r="G26" s="94">
        <f t="shared" si="1"/>
        <v>13.649299016530655</v>
      </c>
      <c r="H26" s="100"/>
      <c r="I26" s="94">
        <f>VLOOKUP(B26,'fixed cost'!$B$4:$R$116,17,0)</f>
        <v>0</v>
      </c>
      <c r="J26" s="92"/>
      <c r="K26" s="92"/>
      <c r="L26" s="92"/>
      <c r="M26" s="94"/>
      <c r="N26" s="94"/>
      <c r="O26" s="94">
        <f t="shared" si="2"/>
        <v>13.649299016530655</v>
      </c>
      <c r="P26" s="94">
        <v>9.6539999999999999</v>
      </c>
      <c r="Q26" s="188">
        <f t="shared" si="3"/>
        <v>3.8999999999999702E-2</v>
      </c>
      <c r="R26" s="189">
        <f t="shared" si="4"/>
        <v>4.0397762585456494E-3</v>
      </c>
    </row>
    <row r="27" spans="1:18" s="27" customFormat="1" ht="15.75" customHeight="1" x14ac:dyDescent="0.25">
      <c r="A27" s="66">
        <f t="shared" si="6"/>
        <v>20</v>
      </c>
      <c r="B27" s="46" t="s">
        <v>104</v>
      </c>
      <c r="C27" s="67">
        <f>C26</f>
        <v>9.6929999999999996</v>
      </c>
      <c r="D27" s="68">
        <f>D26</f>
        <v>3.3530000000000002</v>
      </c>
      <c r="E27" s="67">
        <f t="shared" si="0"/>
        <v>13.045999999999999</v>
      </c>
      <c r="F27" s="184">
        <f t="shared" si="5"/>
        <v>4.4200000000000003E-2</v>
      </c>
      <c r="G27" s="67">
        <f t="shared" si="1"/>
        <v>13.649299016530655</v>
      </c>
      <c r="H27" s="66"/>
      <c r="I27" s="67">
        <f>VLOOKUP(B27,'fixed cost'!$B$4:$R$116,17,0)</f>
        <v>0</v>
      </c>
      <c r="J27" s="66"/>
      <c r="K27" s="66"/>
      <c r="L27" s="66"/>
      <c r="M27" s="67">
        <f>VLOOKUP(B27,'fixed cost'!$B$4:$H$116,7,0)</f>
        <v>1.046590227201031</v>
      </c>
      <c r="N27" s="67"/>
      <c r="O27" s="67">
        <f t="shared" si="2"/>
        <v>14.695889243731687</v>
      </c>
      <c r="P27" s="67">
        <v>9.6539999999999999</v>
      </c>
      <c r="Q27" s="188">
        <f t="shared" si="3"/>
        <v>3.8999999999999702E-2</v>
      </c>
      <c r="R27" s="189">
        <f t="shared" si="4"/>
        <v>4.0397762585456494E-3</v>
      </c>
    </row>
    <row r="28" spans="1:18" s="95" customFormat="1" ht="15.75" customHeight="1" x14ac:dyDescent="0.25">
      <c r="A28" s="92">
        <f t="shared" si="6"/>
        <v>21</v>
      </c>
      <c r="B28" s="93" t="s">
        <v>17</v>
      </c>
      <c r="C28" s="94">
        <v>29.718</v>
      </c>
      <c r="D28" s="94"/>
      <c r="E28" s="94">
        <f t="shared" si="0"/>
        <v>29.718</v>
      </c>
      <c r="F28" s="173">
        <f t="shared" si="5"/>
        <v>4.4200000000000003E-2</v>
      </c>
      <c r="G28" s="94">
        <f t="shared" si="1"/>
        <v>31.092278719397363</v>
      </c>
      <c r="H28" s="100"/>
      <c r="I28" s="94">
        <f>VLOOKUP(B28,'fixed cost'!$B$4:$R$116,17,0)</f>
        <v>0</v>
      </c>
      <c r="J28" s="92"/>
      <c r="K28" s="92"/>
      <c r="L28" s="92"/>
      <c r="M28" s="94"/>
      <c r="N28" s="94"/>
      <c r="O28" s="94">
        <f t="shared" si="2"/>
        <v>31.092278719397363</v>
      </c>
      <c r="P28" s="94">
        <v>29.718</v>
      </c>
      <c r="Q28" s="188">
        <f t="shared" si="3"/>
        <v>0</v>
      </c>
      <c r="R28" s="189">
        <f t="shared" si="4"/>
        <v>0</v>
      </c>
    </row>
    <row r="29" spans="1:18" s="27" customFormat="1" ht="15.75" customHeight="1" x14ac:dyDescent="0.25">
      <c r="A29" s="66">
        <f t="shared" si="6"/>
        <v>22</v>
      </c>
      <c r="B29" s="46" t="s">
        <v>17</v>
      </c>
      <c r="C29" s="67">
        <f>C28</f>
        <v>29.718</v>
      </c>
      <c r="D29" s="68">
        <f>D28</f>
        <v>0</v>
      </c>
      <c r="E29" s="67">
        <f t="shared" si="0"/>
        <v>29.718</v>
      </c>
      <c r="F29" s="184">
        <f t="shared" si="5"/>
        <v>4.4200000000000003E-2</v>
      </c>
      <c r="G29" s="67">
        <f t="shared" si="1"/>
        <v>31.092278719397363</v>
      </c>
      <c r="H29" s="66"/>
      <c r="I29" s="67">
        <f>VLOOKUP(B29,'fixed cost'!$B$4:$R$116,17,0)</f>
        <v>0</v>
      </c>
      <c r="J29" s="66"/>
      <c r="K29" s="66"/>
      <c r="L29" s="66"/>
      <c r="M29" s="67">
        <f>VLOOKUP(B29,'fixed cost'!$B$4:$H$116,7,0)</f>
        <v>1.046590227201031</v>
      </c>
      <c r="N29" s="67"/>
      <c r="O29" s="67">
        <f t="shared" si="2"/>
        <v>32.138868946598393</v>
      </c>
      <c r="P29" s="67">
        <v>29.718</v>
      </c>
      <c r="Q29" s="188">
        <f t="shared" si="3"/>
        <v>0</v>
      </c>
      <c r="R29" s="189">
        <f t="shared" si="4"/>
        <v>0</v>
      </c>
    </row>
    <row r="30" spans="1:18" s="99" customFormat="1" ht="15.75" customHeight="1" x14ac:dyDescent="0.25">
      <c r="A30" s="96">
        <f t="shared" si="6"/>
        <v>23</v>
      </c>
      <c r="B30" s="97" t="s">
        <v>46</v>
      </c>
      <c r="C30" s="98">
        <v>0.23799999999999999</v>
      </c>
      <c r="D30" s="96"/>
      <c r="E30" s="98">
        <f t="shared" si="0"/>
        <v>0.23799999999999999</v>
      </c>
      <c r="F30" s="96"/>
      <c r="G30" s="98">
        <f t="shared" si="1"/>
        <v>0.23799999999999999</v>
      </c>
      <c r="H30" s="96"/>
      <c r="I30" s="98">
        <f>VLOOKUP(B30,'fixed cost'!$B$4:$R$116,17,0)</f>
        <v>0</v>
      </c>
      <c r="J30" s="96"/>
      <c r="K30" s="96"/>
      <c r="L30" s="96"/>
      <c r="M30" s="96"/>
      <c r="N30" s="96"/>
      <c r="O30" s="98">
        <f t="shared" si="2"/>
        <v>0.23799999999999999</v>
      </c>
      <c r="P30" s="98">
        <v>0.23799999999999999</v>
      </c>
      <c r="Q30" s="188">
        <f t="shared" si="3"/>
        <v>0</v>
      </c>
      <c r="R30" s="189">
        <f t="shared" si="4"/>
        <v>0</v>
      </c>
    </row>
    <row r="31" spans="1:18" s="99" customFormat="1" ht="15.75" customHeight="1" x14ac:dyDescent="0.25">
      <c r="A31" s="96">
        <f t="shared" si="6"/>
        <v>24</v>
      </c>
      <c r="B31" s="97" t="s">
        <v>59</v>
      </c>
      <c r="C31" s="98">
        <f>((1.856*25)+(2.326*11))/(25+11)</f>
        <v>1.9996111111111112</v>
      </c>
      <c r="D31" s="96"/>
      <c r="E31" s="98">
        <f t="shared" si="0"/>
        <v>1.9996111111111112</v>
      </c>
      <c r="F31" s="96"/>
      <c r="G31" s="98">
        <f t="shared" si="1"/>
        <v>1.9996111111111112</v>
      </c>
      <c r="H31" s="96">
        <v>0.15</v>
      </c>
      <c r="I31" s="98">
        <f>'fixed cost'!R57</f>
        <v>8.8199999999999997E-3</v>
      </c>
      <c r="J31" s="96"/>
      <c r="K31" s="96"/>
      <c r="L31" s="96"/>
      <c r="M31" s="96"/>
      <c r="N31" s="96"/>
      <c r="O31" s="98">
        <f t="shared" si="2"/>
        <v>2.1584311111111112</v>
      </c>
      <c r="P31" s="98">
        <v>1.9996111111111112</v>
      </c>
      <c r="Q31" s="188">
        <f t="shared" si="3"/>
        <v>0</v>
      </c>
      <c r="R31" s="189">
        <f t="shared" si="4"/>
        <v>0</v>
      </c>
    </row>
    <row r="32" spans="1:18" s="99" customFormat="1" ht="15.75" customHeight="1" x14ac:dyDescent="0.25">
      <c r="A32" s="96">
        <f t="shared" si="6"/>
        <v>25</v>
      </c>
      <c r="B32" s="97" t="s">
        <v>67</v>
      </c>
      <c r="C32" s="98">
        <v>1.51</v>
      </c>
      <c r="D32" s="96"/>
      <c r="E32" s="98">
        <f t="shared" si="0"/>
        <v>1.51</v>
      </c>
      <c r="F32" s="96"/>
      <c r="G32" s="98">
        <f t="shared" si="1"/>
        <v>1.51</v>
      </c>
      <c r="H32" s="96"/>
      <c r="I32" s="98">
        <f>VLOOKUP(B32,'fixed cost'!$B$4:$R$116,17,0)</f>
        <v>0</v>
      </c>
      <c r="J32" s="96"/>
      <c r="K32" s="96"/>
      <c r="L32" s="96"/>
      <c r="M32" s="96"/>
      <c r="N32" s="96"/>
      <c r="O32" s="98">
        <f t="shared" si="2"/>
        <v>1.51</v>
      </c>
      <c r="P32" s="98">
        <v>1.51</v>
      </c>
      <c r="Q32" s="188">
        <f t="shared" si="3"/>
        <v>0</v>
      </c>
      <c r="R32" s="189">
        <f t="shared" si="4"/>
        <v>0</v>
      </c>
    </row>
    <row r="33" spans="1:18" s="57" customFormat="1" ht="15.75" customHeight="1" x14ac:dyDescent="0.25">
      <c r="A33" s="2">
        <f t="shared" si="6"/>
        <v>26</v>
      </c>
      <c r="B33" s="4" t="s">
        <v>98</v>
      </c>
      <c r="C33" s="1">
        <v>2.6059999999999999</v>
      </c>
      <c r="D33" s="9">
        <v>-9.9000000000000008E-3</v>
      </c>
      <c r="E33" s="1">
        <f t="shared" si="0"/>
        <v>2.5960999999999999</v>
      </c>
      <c r="F33" s="7">
        <f>F29</f>
        <v>4.4200000000000003E-2</v>
      </c>
      <c r="G33" s="1">
        <f t="shared" si="1"/>
        <v>2.7161540071144592</v>
      </c>
      <c r="H33" s="5">
        <v>0.15</v>
      </c>
      <c r="I33" s="1" t="s">
        <v>280</v>
      </c>
      <c r="J33" s="2"/>
      <c r="K33" s="2"/>
      <c r="L33" s="2"/>
      <c r="M33" s="1"/>
      <c r="N33" s="1"/>
      <c r="O33" s="1">
        <f t="shared" si="2"/>
        <v>2.8661540071144591</v>
      </c>
      <c r="P33" s="1">
        <v>2.5990000000000002</v>
      </c>
      <c r="Q33" s="188">
        <f t="shared" si="3"/>
        <v>6.9999999999996732E-3</v>
      </c>
      <c r="R33" s="189">
        <f t="shared" si="4"/>
        <v>2.6933435936897549E-3</v>
      </c>
    </row>
    <row r="34" spans="1:18" s="99" customFormat="1" ht="15.75" customHeight="1" x14ac:dyDescent="0.25">
      <c r="A34" s="96">
        <f t="shared" si="6"/>
        <v>27</v>
      </c>
      <c r="B34" s="97" t="s">
        <v>38</v>
      </c>
      <c r="C34" s="98">
        <v>0.60799999999999998</v>
      </c>
      <c r="D34" s="96"/>
      <c r="E34" s="98">
        <f t="shared" si="0"/>
        <v>0.60799999999999998</v>
      </c>
      <c r="F34" s="96"/>
      <c r="G34" s="98">
        <f t="shared" si="1"/>
        <v>0.60799999999999998</v>
      </c>
      <c r="H34" s="96"/>
      <c r="I34" s="98">
        <f>VLOOKUP(B34,'fixed cost'!$B$4:$R$116,17,0)</f>
        <v>0</v>
      </c>
      <c r="J34" s="96"/>
      <c r="K34" s="96"/>
      <c r="L34" s="96"/>
      <c r="M34" s="96"/>
      <c r="N34" s="96"/>
      <c r="O34" s="98">
        <f t="shared" si="2"/>
        <v>0.60799999999999998</v>
      </c>
      <c r="P34" s="98">
        <v>0.60799999999999998</v>
      </c>
      <c r="Q34" s="188">
        <f t="shared" si="3"/>
        <v>0</v>
      </c>
      <c r="R34" s="189">
        <f t="shared" si="4"/>
        <v>0</v>
      </c>
    </row>
    <row r="35" spans="1:18" ht="15.75" customHeight="1" x14ac:dyDescent="0.25">
      <c r="A35" s="2">
        <f t="shared" si="6"/>
        <v>28</v>
      </c>
      <c r="B35" s="4" t="s">
        <v>57</v>
      </c>
      <c r="C35" s="1">
        <v>3.3759999999999999</v>
      </c>
      <c r="D35" s="1"/>
      <c r="E35" s="1">
        <f t="shared" si="0"/>
        <v>3.3759999999999999</v>
      </c>
      <c r="F35" s="7"/>
      <c r="G35" s="1">
        <f t="shared" si="1"/>
        <v>3.3759999999999999</v>
      </c>
      <c r="H35" s="5">
        <v>0.15</v>
      </c>
      <c r="I35" s="1">
        <f>VLOOKUP(B35,'fixed cost'!$B$4:$R$116,17,0)</f>
        <v>6.4769999999999994E-2</v>
      </c>
      <c r="J35" s="2"/>
      <c r="K35" s="2"/>
      <c r="L35" s="2"/>
      <c r="M35" s="2"/>
      <c r="N35" s="2"/>
      <c r="O35" s="1">
        <f t="shared" si="2"/>
        <v>3.59077</v>
      </c>
      <c r="P35" s="1">
        <v>3.3759999999999999</v>
      </c>
      <c r="Q35" s="188">
        <f t="shared" si="3"/>
        <v>0</v>
      </c>
      <c r="R35" s="189">
        <f t="shared" si="4"/>
        <v>0</v>
      </c>
    </row>
    <row r="36" spans="1:18" s="27" customFormat="1" ht="15.75" customHeight="1" x14ac:dyDescent="0.25">
      <c r="A36" s="2">
        <f t="shared" si="6"/>
        <v>29</v>
      </c>
      <c r="B36" s="4" t="s">
        <v>56</v>
      </c>
      <c r="C36" s="1">
        <v>0.70499999999999996</v>
      </c>
      <c r="D36" s="1"/>
      <c r="E36" s="1">
        <f t="shared" si="0"/>
        <v>0.70499999999999996</v>
      </c>
      <c r="F36" s="7">
        <f>F33</f>
        <v>4.4200000000000003E-2</v>
      </c>
      <c r="G36" s="1">
        <f t="shared" si="1"/>
        <v>0.73760200878844939</v>
      </c>
      <c r="H36" s="5">
        <v>0.15</v>
      </c>
      <c r="I36" s="1">
        <f>VLOOKUP(B36,'fixed cost'!$B$4:$R$116,17,0)</f>
        <v>4.0004999999999999E-2</v>
      </c>
      <c r="J36" s="2"/>
      <c r="K36" s="2"/>
      <c r="L36" s="2"/>
      <c r="M36" s="2"/>
      <c r="N36" s="2"/>
      <c r="O36" s="1">
        <f t="shared" si="2"/>
        <v>0.92760700878844937</v>
      </c>
      <c r="P36" s="1">
        <v>0.68</v>
      </c>
      <c r="Q36" s="188">
        <f t="shared" si="3"/>
        <v>2.4999999999999911E-2</v>
      </c>
      <c r="R36" s="189">
        <f t="shared" si="4"/>
        <v>3.6764705882352811E-2</v>
      </c>
    </row>
    <row r="37" spans="1:18" ht="15.75" customHeight="1" x14ac:dyDescent="0.25">
      <c r="A37" s="2">
        <f t="shared" si="6"/>
        <v>30</v>
      </c>
      <c r="B37" s="4" t="s">
        <v>27</v>
      </c>
      <c r="C37" s="214">
        <v>2.702</v>
      </c>
      <c r="D37" s="1">
        <v>5.799E-2</v>
      </c>
      <c r="E37" s="1">
        <f t="shared" si="0"/>
        <v>2.7599900000000002</v>
      </c>
      <c r="F37" s="7">
        <f>F36</f>
        <v>4.4200000000000003E-2</v>
      </c>
      <c r="G37" s="1">
        <f t="shared" si="1"/>
        <v>2.8876229336681316</v>
      </c>
      <c r="H37" s="2"/>
      <c r="I37" s="1">
        <f>VLOOKUP(B37,'fixed cost'!$B$4:$R$116,17,0)</f>
        <v>0</v>
      </c>
      <c r="J37" s="2"/>
      <c r="K37" s="2"/>
      <c r="L37" s="2"/>
      <c r="M37" s="2"/>
      <c r="N37" s="2"/>
      <c r="O37" s="1">
        <f t="shared" si="2"/>
        <v>2.8876229336681316</v>
      </c>
      <c r="P37" s="213">
        <v>2.702</v>
      </c>
      <c r="Q37" s="188">
        <f t="shared" si="3"/>
        <v>0</v>
      </c>
      <c r="R37" s="189">
        <f t="shared" si="4"/>
        <v>0</v>
      </c>
    </row>
    <row r="38" spans="1:18" s="27" customFormat="1" ht="15.75" customHeight="1" x14ac:dyDescent="0.25">
      <c r="A38" s="66">
        <f t="shared" si="6"/>
        <v>31</v>
      </c>
      <c r="B38" s="46" t="s">
        <v>27</v>
      </c>
      <c r="C38" s="67">
        <f t="shared" ref="C38:D40" si="7">C37</f>
        <v>2.702</v>
      </c>
      <c r="D38" s="68">
        <f t="shared" si="7"/>
        <v>5.799E-2</v>
      </c>
      <c r="E38" s="67">
        <f t="shared" si="0"/>
        <v>2.7599900000000002</v>
      </c>
      <c r="F38" s="184">
        <f>F37</f>
        <v>4.4200000000000003E-2</v>
      </c>
      <c r="G38" s="67">
        <f t="shared" si="1"/>
        <v>2.8876229336681316</v>
      </c>
      <c r="H38" s="66"/>
      <c r="I38" s="67">
        <f>VLOOKUP(B38,'fixed cost'!$B$4:$R$116,17,0)</f>
        <v>0</v>
      </c>
      <c r="J38" s="66"/>
      <c r="K38" s="66"/>
      <c r="L38" s="66"/>
      <c r="M38" s="67">
        <f>VLOOKUP(B38,'fixed cost'!$B$4:$H$116,7,0)</f>
        <v>0.92016615713300831</v>
      </c>
      <c r="N38" s="67"/>
      <c r="O38" s="67">
        <f t="shared" si="2"/>
        <v>3.80778909080114</v>
      </c>
      <c r="P38" s="67">
        <v>2.702</v>
      </c>
      <c r="Q38" s="188">
        <f t="shared" si="3"/>
        <v>0</v>
      </c>
      <c r="R38" s="189">
        <f t="shared" si="4"/>
        <v>0</v>
      </c>
    </row>
    <row r="39" spans="1:18" s="182" customFormat="1" ht="15.75" customHeight="1" x14ac:dyDescent="0.25">
      <c r="A39" s="58">
        <f t="shared" si="6"/>
        <v>32</v>
      </c>
      <c r="B39" s="59" t="s">
        <v>27</v>
      </c>
      <c r="C39" s="60">
        <f t="shared" si="7"/>
        <v>2.702</v>
      </c>
      <c r="D39" s="60">
        <f t="shared" si="7"/>
        <v>5.799E-2</v>
      </c>
      <c r="E39" s="60">
        <f t="shared" si="0"/>
        <v>2.7599900000000002</v>
      </c>
      <c r="F39" s="124">
        <f>F38</f>
        <v>4.4200000000000003E-2</v>
      </c>
      <c r="G39" s="60">
        <f t="shared" si="1"/>
        <v>2.8876229336681316</v>
      </c>
      <c r="H39" s="58"/>
      <c r="I39" s="60">
        <f>VLOOKUP(B39,'fixed cost'!$B$4:$R$116,17,0)</f>
        <v>0</v>
      </c>
      <c r="J39" s="58"/>
      <c r="K39" s="58"/>
      <c r="L39" s="58"/>
      <c r="M39" s="125"/>
      <c r="N39" s="58">
        <v>0.55000000000000004</v>
      </c>
      <c r="O39" s="60">
        <f t="shared" si="2"/>
        <v>3.4376229336681314</v>
      </c>
      <c r="P39" s="60">
        <v>2.702</v>
      </c>
      <c r="Q39" s="188">
        <f t="shared" si="3"/>
        <v>0</v>
      </c>
      <c r="R39" s="189">
        <f t="shared" si="4"/>
        <v>0</v>
      </c>
    </row>
    <row r="40" spans="1:18" s="182" customFormat="1" ht="15.75" customHeight="1" x14ac:dyDescent="0.25">
      <c r="A40" s="146">
        <f t="shared" si="6"/>
        <v>33</v>
      </c>
      <c r="B40" s="147" t="s">
        <v>27</v>
      </c>
      <c r="C40" s="148">
        <f t="shared" si="7"/>
        <v>2.702</v>
      </c>
      <c r="D40" s="149">
        <f t="shared" si="7"/>
        <v>5.799E-2</v>
      </c>
      <c r="E40" s="148">
        <f t="shared" si="0"/>
        <v>2.7599900000000002</v>
      </c>
      <c r="F40" s="150">
        <f>F39</f>
        <v>4.4200000000000003E-2</v>
      </c>
      <c r="G40" s="148">
        <f t="shared" si="1"/>
        <v>2.8876229336681316</v>
      </c>
      <c r="H40" s="146"/>
      <c r="I40" s="148">
        <f>VLOOKUP(B40,'fixed cost'!$B$4:$R$116,17,0)</f>
        <v>0</v>
      </c>
      <c r="J40" s="146"/>
      <c r="K40" s="146"/>
      <c r="L40" s="146"/>
      <c r="M40" s="146"/>
      <c r="N40" s="146">
        <v>0.75</v>
      </c>
      <c r="O40" s="148">
        <f t="shared" si="2"/>
        <v>3.6376229336681316</v>
      </c>
      <c r="P40" s="148">
        <v>2.702</v>
      </c>
      <c r="Q40" s="188">
        <f t="shared" si="3"/>
        <v>0</v>
      </c>
      <c r="R40" s="189">
        <f t="shared" si="4"/>
        <v>0</v>
      </c>
    </row>
    <row r="41" spans="1:18" ht="15.75" customHeight="1" x14ac:dyDescent="0.25">
      <c r="A41" s="2">
        <f>A38+1</f>
        <v>32</v>
      </c>
      <c r="B41" s="4" t="s">
        <v>19</v>
      </c>
      <c r="C41" s="1">
        <v>1.597</v>
      </c>
      <c r="D41" s="1"/>
      <c r="E41" s="1">
        <f t="shared" si="0"/>
        <v>1.597</v>
      </c>
      <c r="F41" s="7">
        <f>F38</f>
        <v>4.4200000000000003E-2</v>
      </c>
      <c r="G41" s="1">
        <f t="shared" si="1"/>
        <v>1.6708516426030551</v>
      </c>
      <c r="H41" s="2"/>
      <c r="I41" s="1">
        <f>VLOOKUP(B41,'fixed cost'!$B$4:$R$116,17,0)</f>
        <v>0</v>
      </c>
      <c r="J41" s="2"/>
      <c r="K41" s="2"/>
      <c r="L41" s="2"/>
      <c r="M41" s="2"/>
      <c r="N41" s="2"/>
      <c r="O41" s="1">
        <f t="shared" si="2"/>
        <v>1.6708516426030551</v>
      </c>
      <c r="P41" s="1">
        <v>1.597</v>
      </c>
      <c r="Q41" s="188">
        <f t="shared" si="3"/>
        <v>0</v>
      </c>
      <c r="R41" s="189">
        <f t="shared" si="4"/>
        <v>0</v>
      </c>
    </row>
    <row r="42" spans="1:18" s="27" customFormat="1" ht="15.75" customHeight="1" x14ac:dyDescent="0.25">
      <c r="A42" s="66">
        <f t="shared" ref="A42:A48" si="8">A41+1</f>
        <v>33</v>
      </c>
      <c r="B42" s="46" t="s">
        <v>19</v>
      </c>
      <c r="C42" s="67">
        <f>C41</f>
        <v>1.597</v>
      </c>
      <c r="D42" s="68">
        <f>D41</f>
        <v>0</v>
      </c>
      <c r="E42" s="67">
        <f t="shared" si="0"/>
        <v>1.597</v>
      </c>
      <c r="F42" s="184">
        <f t="shared" ref="F42:F63" si="9">F41</f>
        <v>4.4200000000000003E-2</v>
      </c>
      <c r="G42" s="67">
        <f t="shared" si="1"/>
        <v>1.6708516426030551</v>
      </c>
      <c r="H42" s="66"/>
      <c r="I42" s="67">
        <f>VLOOKUP(B42,'fixed cost'!$B$4:$R$116,17,0)</f>
        <v>0</v>
      </c>
      <c r="J42" s="66"/>
      <c r="K42" s="66"/>
      <c r="L42" s="66"/>
      <c r="M42" s="67">
        <f>VLOOKUP(B42,'fixed cost'!$B$4:$H$116,7,0)</f>
        <v>0.85915096311475081</v>
      </c>
      <c r="N42" s="67"/>
      <c r="O42" s="67">
        <f t="shared" si="2"/>
        <v>2.5300026057178058</v>
      </c>
      <c r="P42" s="67">
        <v>1.597</v>
      </c>
      <c r="Q42" s="188">
        <f t="shared" si="3"/>
        <v>0</v>
      </c>
      <c r="R42" s="189">
        <f t="shared" si="4"/>
        <v>0</v>
      </c>
    </row>
    <row r="43" spans="1:18" s="95" customFormat="1" ht="15.75" customHeight="1" x14ac:dyDescent="0.25">
      <c r="A43" s="92">
        <f t="shared" si="8"/>
        <v>34</v>
      </c>
      <c r="B43" s="93" t="s">
        <v>182</v>
      </c>
      <c r="C43" s="94">
        <v>8.9540000000000006</v>
      </c>
      <c r="D43" s="94"/>
      <c r="E43" s="94">
        <f t="shared" si="0"/>
        <v>8.9540000000000006</v>
      </c>
      <c r="F43" s="173">
        <f t="shared" si="9"/>
        <v>4.4200000000000003E-2</v>
      </c>
      <c r="G43" s="94">
        <f t="shared" si="1"/>
        <v>9.3680686336053576</v>
      </c>
      <c r="H43" s="100"/>
      <c r="I43" s="94">
        <f>VLOOKUP(B43,'fixed cost'!$B$4:$R$116,17,0)</f>
        <v>0</v>
      </c>
      <c r="J43" s="92"/>
      <c r="K43" s="92"/>
      <c r="L43" s="92"/>
      <c r="M43" s="94"/>
      <c r="N43" s="94"/>
      <c r="O43" s="94">
        <f t="shared" si="2"/>
        <v>9.3680686336053576</v>
      </c>
      <c r="P43" s="94">
        <v>8.9540000000000006</v>
      </c>
      <c r="Q43" s="188">
        <f t="shared" si="3"/>
        <v>0</v>
      </c>
      <c r="R43" s="189">
        <f t="shared" si="4"/>
        <v>0</v>
      </c>
    </row>
    <row r="44" spans="1:18" s="27" customFormat="1" ht="15.75" customHeight="1" x14ac:dyDescent="0.25">
      <c r="A44" s="66">
        <f t="shared" si="8"/>
        <v>35</v>
      </c>
      <c r="B44" s="46" t="s">
        <v>182</v>
      </c>
      <c r="C44" s="67">
        <f>C43</f>
        <v>8.9540000000000006</v>
      </c>
      <c r="D44" s="68"/>
      <c r="E44" s="67">
        <f t="shared" si="0"/>
        <v>8.9540000000000006</v>
      </c>
      <c r="F44" s="184">
        <f t="shared" si="9"/>
        <v>4.4200000000000003E-2</v>
      </c>
      <c r="G44" s="67">
        <f t="shared" si="1"/>
        <v>9.3680686336053576</v>
      </c>
      <c r="H44" s="66"/>
      <c r="I44" s="67">
        <f>VLOOKUP(B44,'fixed cost'!$B$4:$R$116,17,0)</f>
        <v>0</v>
      </c>
      <c r="J44" s="66"/>
      <c r="K44" s="66"/>
      <c r="L44" s="66"/>
      <c r="M44" s="67">
        <f>VLOOKUP(B44,'fixed cost'!$B$4:$H$116,7,0)</f>
        <v>0.85915096311475081</v>
      </c>
      <c r="N44" s="67"/>
      <c r="O44" s="67">
        <f t="shared" si="2"/>
        <v>10.227219596720108</v>
      </c>
      <c r="P44" s="67">
        <v>8.9540000000000006</v>
      </c>
      <c r="Q44" s="188">
        <f t="shared" si="3"/>
        <v>0</v>
      </c>
      <c r="R44" s="189">
        <f t="shared" si="4"/>
        <v>0</v>
      </c>
    </row>
    <row r="45" spans="1:18" s="95" customFormat="1" ht="15.75" customHeight="1" x14ac:dyDescent="0.25">
      <c r="A45" s="92">
        <f t="shared" si="8"/>
        <v>36</v>
      </c>
      <c r="B45" s="93" t="s">
        <v>105</v>
      </c>
      <c r="C45" s="94">
        <v>9.5779999999999994</v>
      </c>
      <c r="D45" s="94"/>
      <c r="E45" s="94">
        <f t="shared" si="0"/>
        <v>9.5779999999999994</v>
      </c>
      <c r="F45" s="173">
        <f t="shared" si="9"/>
        <v>4.4200000000000003E-2</v>
      </c>
      <c r="G45" s="94">
        <f t="shared" si="1"/>
        <v>10.020924879681941</v>
      </c>
      <c r="H45" s="100"/>
      <c r="I45" s="94">
        <f>VLOOKUP(B45,'fixed cost'!$B$4:$R$116,17,0)</f>
        <v>0</v>
      </c>
      <c r="J45" s="92"/>
      <c r="K45" s="92"/>
      <c r="L45" s="92"/>
      <c r="M45" s="94"/>
      <c r="N45" s="94"/>
      <c r="O45" s="94">
        <f t="shared" si="2"/>
        <v>10.020924879681941</v>
      </c>
      <c r="P45" s="94">
        <v>9.5779999999999994</v>
      </c>
      <c r="Q45" s="188">
        <f t="shared" si="3"/>
        <v>0</v>
      </c>
      <c r="R45" s="189">
        <f t="shared" si="4"/>
        <v>0</v>
      </c>
    </row>
    <row r="46" spans="1:18" s="27" customFormat="1" ht="15.75" customHeight="1" x14ac:dyDescent="0.25">
      <c r="A46" s="66">
        <f t="shared" si="8"/>
        <v>37</v>
      </c>
      <c r="B46" s="46" t="s">
        <v>105</v>
      </c>
      <c r="C46" s="67">
        <f>C45</f>
        <v>9.5779999999999994</v>
      </c>
      <c r="D46" s="68">
        <f>D45</f>
        <v>0</v>
      </c>
      <c r="E46" s="67">
        <f t="shared" si="0"/>
        <v>9.5779999999999994</v>
      </c>
      <c r="F46" s="184">
        <f t="shared" si="9"/>
        <v>4.4200000000000003E-2</v>
      </c>
      <c r="G46" s="67">
        <f t="shared" si="1"/>
        <v>10.020924879681941</v>
      </c>
      <c r="H46" s="66"/>
      <c r="I46" s="67">
        <f>VLOOKUP(B46,'fixed cost'!$B$4:$R$116,17,0)</f>
        <v>0</v>
      </c>
      <c r="J46" s="66"/>
      <c r="K46" s="66"/>
      <c r="L46" s="66"/>
      <c r="M46" s="67">
        <f>VLOOKUP(B46,'fixed cost'!$B$4:$H$116,7,0)</f>
        <v>0.85915096311475081</v>
      </c>
      <c r="N46" s="67"/>
      <c r="O46" s="67">
        <f t="shared" si="2"/>
        <v>10.880075842796691</v>
      </c>
      <c r="P46" s="67">
        <v>9.5779999999999994</v>
      </c>
      <c r="Q46" s="188">
        <f t="shared" si="3"/>
        <v>0</v>
      </c>
      <c r="R46" s="189">
        <f t="shared" si="4"/>
        <v>0</v>
      </c>
    </row>
    <row r="47" spans="1:18" s="95" customFormat="1" ht="15.75" customHeight="1" x14ac:dyDescent="0.25">
      <c r="A47" s="92">
        <f t="shared" si="8"/>
        <v>38</v>
      </c>
      <c r="B47" s="93" t="s">
        <v>128</v>
      </c>
      <c r="C47" s="94">
        <v>24.042999999999999</v>
      </c>
      <c r="D47" s="94"/>
      <c r="E47" s="94">
        <f t="shared" si="0"/>
        <v>24.042999999999999</v>
      </c>
      <c r="F47" s="173">
        <f t="shared" si="9"/>
        <v>4.4200000000000003E-2</v>
      </c>
      <c r="G47" s="94">
        <f t="shared" si="1"/>
        <v>25.154844109646369</v>
      </c>
      <c r="H47" s="100"/>
      <c r="I47" s="94">
        <f>VLOOKUP(B47,'fixed cost'!$B$4:$R$116,17,0)</f>
        <v>0</v>
      </c>
      <c r="J47" s="92"/>
      <c r="K47" s="92"/>
      <c r="L47" s="92"/>
      <c r="M47" s="94"/>
      <c r="N47" s="94"/>
      <c r="O47" s="94">
        <f t="shared" si="2"/>
        <v>25.154844109646369</v>
      </c>
      <c r="P47" s="94">
        <v>24.042999999999999</v>
      </c>
      <c r="Q47" s="188">
        <f t="shared" si="3"/>
        <v>0</v>
      </c>
      <c r="R47" s="189">
        <f t="shared" si="4"/>
        <v>0</v>
      </c>
    </row>
    <row r="48" spans="1:18" s="27" customFormat="1" ht="15.75" customHeight="1" x14ac:dyDescent="0.25">
      <c r="A48" s="66">
        <f t="shared" si="8"/>
        <v>39</v>
      </c>
      <c r="B48" s="46" t="s">
        <v>128</v>
      </c>
      <c r="C48" s="67">
        <f>C47</f>
        <v>24.042999999999999</v>
      </c>
      <c r="D48" s="68">
        <f>D47</f>
        <v>0</v>
      </c>
      <c r="E48" s="67">
        <f t="shared" si="0"/>
        <v>24.042999999999999</v>
      </c>
      <c r="F48" s="184">
        <f t="shared" si="9"/>
        <v>4.4200000000000003E-2</v>
      </c>
      <c r="G48" s="67">
        <f t="shared" si="1"/>
        <v>25.154844109646369</v>
      </c>
      <c r="H48" s="66"/>
      <c r="I48" s="67">
        <f>VLOOKUP(B48,'fixed cost'!$B$4:$R$116,17,0)</f>
        <v>0</v>
      </c>
      <c r="J48" s="66"/>
      <c r="K48" s="66"/>
      <c r="L48" s="66"/>
      <c r="M48" s="67">
        <f>VLOOKUP(B48,'fixed cost'!$B$4:$H$116,7,0)</f>
        <v>0.85915096311475081</v>
      </c>
      <c r="N48" s="67"/>
      <c r="O48" s="67">
        <f t="shared" si="2"/>
        <v>26.013995072761119</v>
      </c>
      <c r="P48" s="67">
        <v>24.042999999999999</v>
      </c>
      <c r="Q48" s="188">
        <f t="shared" si="3"/>
        <v>0</v>
      </c>
      <c r="R48" s="189">
        <f t="shared" si="4"/>
        <v>0</v>
      </c>
    </row>
    <row r="49" spans="1:18" s="95" customFormat="1" ht="15.75" customHeight="1" x14ac:dyDescent="0.25">
      <c r="A49" s="92">
        <f>A46+1</f>
        <v>38</v>
      </c>
      <c r="B49" s="93" t="s">
        <v>16</v>
      </c>
      <c r="C49" s="94">
        <v>35.627000000000002</v>
      </c>
      <c r="D49" s="94"/>
      <c r="E49" s="94">
        <f t="shared" si="0"/>
        <v>35.627000000000002</v>
      </c>
      <c r="F49" s="173">
        <f t="shared" si="9"/>
        <v>4.4200000000000003E-2</v>
      </c>
      <c r="G49" s="94">
        <f t="shared" si="1"/>
        <v>37.274534421427077</v>
      </c>
      <c r="H49" s="100"/>
      <c r="I49" s="94">
        <f>VLOOKUP(B49,'fixed cost'!$B$4:$R$116,17,0)</f>
        <v>0</v>
      </c>
      <c r="J49" s="92"/>
      <c r="K49" s="92"/>
      <c r="L49" s="92"/>
      <c r="M49" s="94"/>
      <c r="N49" s="94"/>
      <c r="O49" s="94">
        <f t="shared" si="2"/>
        <v>37.274534421427077</v>
      </c>
      <c r="P49" s="94">
        <v>35.627000000000002</v>
      </c>
      <c r="Q49" s="188">
        <f t="shared" si="3"/>
        <v>0</v>
      </c>
      <c r="R49" s="189">
        <f t="shared" si="4"/>
        <v>0</v>
      </c>
    </row>
    <row r="50" spans="1:18" s="27" customFormat="1" ht="15.75" customHeight="1" x14ac:dyDescent="0.25">
      <c r="A50" s="66">
        <f>A49+1</f>
        <v>39</v>
      </c>
      <c r="B50" s="46" t="s">
        <v>16</v>
      </c>
      <c r="C50" s="67">
        <f>C49</f>
        <v>35.627000000000002</v>
      </c>
      <c r="D50" s="68">
        <f>D49</f>
        <v>0</v>
      </c>
      <c r="E50" s="67">
        <f>E49</f>
        <v>35.627000000000002</v>
      </c>
      <c r="F50" s="184">
        <f t="shared" si="9"/>
        <v>4.4200000000000003E-2</v>
      </c>
      <c r="G50" s="67">
        <f t="shared" si="1"/>
        <v>37.274534421427077</v>
      </c>
      <c r="H50" s="66"/>
      <c r="I50" s="67">
        <f>VLOOKUP(B50,'fixed cost'!$B$4:$R$116,17,0)</f>
        <v>0</v>
      </c>
      <c r="J50" s="66"/>
      <c r="K50" s="66"/>
      <c r="L50" s="66"/>
      <c r="M50" s="67">
        <f>VLOOKUP(B50,'fixed cost'!$B$4:$H$116,7,0)</f>
        <v>0.85915096311475081</v>
      </c>
      <c r="N50" s="67"/>
      <c r="O50" s="67">
        <f t="shared" si="2"/>
        <v>38.133685384541828</v>
      </c>
      <c r="P50" s="67">
        <v>35.627000000000002</v>
      </c>
      <c r="Q50" s="188">
        <f t="shared" si="3"/>
        <v>0</v>
      </c>
      <c r="R50" s="189">
        <f t="shared" si="4"/>
        <v>0</v>
      </c>
    </row>
    <row r="51" spans="1:18" ht="15.75" customHeight="1" x14ac:dyDescent="0.25">
      <c r="A51" s="2">
        <f>A48+1</f>
        <v>40</v>
      </c>
      <c r="B51" s="4" t="s">
        <v>175</v>
      </c>
      <c r="C51" s="1">
        <v>3.2010000000000001</v>
      </c>
      <c r="D51" s="1">
        <v>-2.3E-2</v>
      </c>
      <c r="E51" s="1">
        <f t="shared" ref="E51:E104" si="10">C51+D51</f>
        <v>3.1779999999999999</v>
      </c>
      <c r="F51" s="7">
        <f t="shared" si="9"/>
        <v>4.4200000000000003E-2</v>
      </c>
      <c r="G51" s="1">
        <f t="shared" si="1"/>
        <v>3.3249633814605568</v>
      </c>
      <c r="H51" s="2">
        <v>0.15</v>
      </c>
      <c r="I51" s="1">
        <f>VLOOKUP(B51,'fixed cost'!$B$4:$R$116,17,0)</f>
        <v>5.2784999999999999E-2</v>
      </c>
      <c r="J51" s="2"/>
      <c r="K51" s="2"/>
      <c r="L51" s="1">
        <v>6.2E-2</v>
      </c>
      <c r="M51" s="2"/>
      <c r="N51" s="2"/>
      <c r="O51" s="1">
        <f t="shared" si="2"/>
        <v>3.5897483814605566</v>
      </c>
      <c r="P51" s="213">
        <v>3.323</v>
      </c>
      <c r="Q51" s="188">
        <f t="shared" si="3"/>
        <v>-0.12199999999999989</v>
      </c>
      <c r="R51" s="189">
        <f t="shared" si="4"/>
        <v>-3.6713812819741162E-2</v>
      </c>
    </row>
    <row r="52" spans="1:18" s="27" customFormat="1" ht="15.75" customHeight="1" x14ac:dyDescent="0.25">
      <c r="A52" s="66">
        <f>A51+1</f>
        <v>41</v>
      </c>
      <c r="B52" s="46" t="s">
        <v>175</v>
      </c>
      <c r="C52" s="67">
        <f>C51</f>
        <v>3.2010000000000001</v>
      </c>
      <c r="D52" s="68">
        <f>D51</f>
        <v>-2.3E-2</v>
      </c>
      <c r="E52" s="67">
        <f t="shared" si="10"/>
        <v>3.1779999999999999</v>
      </c>
      <c r="F52" s="184">
        <f t="shared" si="9"/>
        <v>4.4200000000000003E-2</v>
      </c>
      <c r="G52" s="67">
        <f t="shared" si="1"/>
        <v>3.3249633814605568</v>
      </c>
      <c r="H52" s="66">
        <f>H51</f>
        <v>0.15</v>
      </c>
      <c r="I52" s="67">
        <f>VLOOKUP(B52,'fixed cost'!$B$4:$R$116,17,0)</f>
        <v>5.2784999999999999E-2</v>
      </c>
      <c r="J52" s="66"/>
      <c r="K52" s="66"/>
      <c r="L52" s="67">
        <f>L51</f>
        <v>6.2E-2</v>
      </c>
      <c r="M52" s="67">
        <f>VLOOKUP(B52,'fixed cost'!$B$4:$H$116,7,0)</f>
        <v>2.0731460875671606</v>
      </c>
      <c r="N52" s="67"/>
      <c r="O52" s="67">
        <f t="shared" si="2"/>
        <v>5.6628944690277176</v>
      </c>
      <c r="P52" s="67">
        <v>3.323</v>
      </c>
      <c r="Q52" s="188">
        <f t="shared" si="3"/>
        <v>-0.12199999999999989</v>
      </c>
      <c r="R52" s="189">
        <f t="shared" si="4"/>
        <v>-3.6713812819741162E-2</v>
      </c>
    </row>
    <row r="53" spans="1:18" s="27" customFormat="1" ht="15.75" customHeight="1" x14ac:dyDescent="0.25">
      <c r="A53" s="2">
        <f>A52+1</f>
        <v>42</v>
      </c>
      <c r="B53" s="4" t="s">
        <v>36</v>
      </c>
      <c r="C53" s="1">
        <v>1.3169999999999999</v>
      </c>
      <c r="D53" s="1">
        <v>1E-3</v>
      </c>
      <c r="E53" s="1">
        <f t="shared" si="10"/>
        <v>1.3179999999999998</v>
      </c>
      <c r="F53" s="7">
        <f t="shared" si="9"/>
        <v>4.4200000000000003E-2</v>
      </c>
      <c r="G53" s="1">
        <f t="shared" si="1"/>
        <v>1.3789495710399664</v>
      </c>
      <c r="H53" s="2"/>
      <c r="I53" s="1">
        <f>VLOOKUP(B53,'fixed cost'!$B$4:$R$116,17,0)</f>
        <v>0.13208364</v>
      </c>
      <c r="J53" s="2"/>
      <c r="K53" s="2"/>
      <c r="L53" s="2"/>
      <c r="M53" s="2"/>
      <c r="N53" s="2"/>
      <c r="O53" s="1">
        <f t="shared" si="2"/>
        <v>1.5110332110399665</v>
      </c>
      <c r="P53" s="213">
        <v>1.2729999999999999</v>
      </c>
      <c r="Q53" s="188">
        <f t="shared" si="3"/>
        <v>4.4000000000000039E-2</v>
      </c>
      <c r="R53" s="189">
        <f t="shared" si="4"/>
        <v>3.4564021995286756E-2</v>
      </c>
    </row>
    <row r="54" spans="1:18" s="27" customFormat="1" ht="15.75" customHeight="1" x14ac:dyDescent="0.25">
      <c r="A54" s="66">
        <f>A53+1</f>
        <v>43</v>
      </c>
      <c r="B54" s="46" t="s">
        <v>36</v>
      </c>
      <c r="C54" s="67">
        <f t="shared" ref="C54:D56" si="11">C53</f>
        <v>1.3169999999999999</v>
      </c>
      <c r="D54" s="68">
        <f t="shared" si="11"/>
        <v>1E-3</v>
      </c>
      <c r="E54" s="67">
        <f t="shared" si="10"/>
        <v>1.3179999999999998</v>
      </c>
      <c r="F54" s="184">
        <f t="shared" si="9"/>
        <v>4.4200000000000003E-2</v>
      </c>
      <c r="G54" s="67">
        <f t="shared" si="1"/>
        <v>1.3789495710399664</v>
      </c>
      <c r="H54" s="66"/>
      <c r="I54" s="67">
        <f>VLOOKUP(B54,'fixed cost'!$B$4:$R$116,17,0)</f>
        <v>0.13208364</v>
      </c>
      <c r="J54" s="66"/>
      <c r="K54" s="66"/>
      <c r="L54" s="66"/>
      <c r="M54" s="67">
        <f>VLOOKUP(B54,'fixed cost'!$B$4:$H$116,7,0)</f>
        <v>0.7550673162927084</v>
      </c>
      <c r="N54" s="67"/>
      <c r="O54" s="67">
        <f t="shared" si="2"/>
        <v>2.2661005273326751</v>
      </c>
      <c r="P54" s="67">
        <v>1.2729999999999999</v>
      </c>
      <c r="Q54" s="188">
        <f t="shared" si="3"/>
        <v>4.4000000000000039E-2</v>
      </c>
      <c r="R54" s="189">
        <f t="shared" si="4"/>
        <v>3.4564021995286756E-2</v>
      </c>
    </row>
    <row r="55" spans="1:18" s="182" customFormat="1" ht="15.75" customHeight="1" x14ac:dyDescent="0.25">
      <c r="A55" s="58">
        <f>A54+1</f>
        <v>44</v>
      </c>
      <c r="B55" s="59" t="str">
        <f>B54</f>
        <v>KSTPS</v>
      </c>
      <c r="C55" s="60">
        <f t="shared" si="11"/>
        <v>1.3169999999999999</v>
      </c>
      <c r="D55" s="60">
        <f t="shared" si="11"/>
        <v>1E-3</v>
      </c>
      <c r="E55" s="60">
        <f t="shared" si="10"/>
        <v>1.3179999999999998</v>
      </c>
      <c r="F55" s="124">
        <f t="shared" si="9"/>
        <v>4.4200000000000003E-2</v>
      </c>
      <c r="G55" s="60">
        <f t="shared" si="1"/>
        <v>1.3789495710399664</v>
      </c>
      <c r="H55" s="58"/>
      <c r="I55" s="60">
        <f>VLOOKUP(B55,'fixed cost'!$B$4:$R$116,17,0)</f>
        <v>0.13208364</v>
      </c>
      <c r="J55" s="58"/>
      <c r="K55" s="58"/>
      <c r="L55" s="58"/>
      <c r="M55" s="125"/>
      <c r="N55" s="58">
        <v>0.55000000000000004</v>
      </c>
      <c r="O55" s="60">
        <f t="shared" si="2"/>
        <v>2.0610332110399665</v>
      </c>
      <c r="P55" s="60">
        <v>1.2729999999999999</v>
      </c>
      <c r="Q55" s="188">
        <f t="shared" si="3"/>
        <v>4.4000000000000039E-2</v>
      </c>
      <c r="R55" s="189">
        <f t="shared" si="4"/>
        <v>3.4564021995286756E-2</v>
      </c>
    </row>
    <row r="56" spans="1:18" s="182" customFormat="1" ht="15.75" customHeight="1" x14ac:dyDescent="0.25">
      <c r="A56" s="146">
        <f>A55+1</f>
        <v>45</v>
      </c>
      <c r="B56" s="147" t="str">
        <f>B55</f>
        <v>KSTPS</v>
      </c>
      <c r="C56" s="148">
        <f t="shared" si="11"/>
        <v>1.3169999999999999</v>
      </c>
      <c r="D56" s="149">
        <f t="shared" si="11"/>
        <v>1E-3</v>
      </c>
      <c r="E56" s="148">
        <f t="shared" si="10"/>
        <v>1.3179999999999998</v>
      </c>
      <c r="F56" s="150">
        <f t="shared" si="9"/>
        <v>4.4200000000000003E-2</v>
      </c>
      <c r="G56" s="148">
        <f t="shared" si="1"/>
        <v>1.3789495710399664</v>
      </c>
      <c r="H56" s="146"/>
      <c r="I56" s="148">
        <f>VLOOKUP(B56,'fixed cost'!$B$4:$R$116,17,0)</f>
        <v>0.13208364</v>
      </c>
      <c r="J56" s="146"/>
      <c r="K56" s="146"/>
      <c r="L56" s="146"/>
      <c r="M56" s="146"/>
      <c r="N56" s="146">
        <v>0.75</v>
      </c>
      <c r="O56" s="148">
        <f t="shared" si="2"/>
        <v>2.2610332110399662</v>
      </c>
      <c r="P56" s="148">
        <v>1.2729999999999999</v>
      </c>
      <c r="Q56" s="188">
        <f t="shared" si="3"/>
        <v>4.4000000000000039E-2</v>
      </c>
      <c r="R56" s="189">
        <f t="shared" si="4"/>
        <v>3.4564021995286756E-2</v>
      </c>
    </row>
    <row r="57" spans="1:18" ht="15.75" customHeight="1" x14ac:dyDescent="0.25">
      <c r="A57" s="2">
        <f>A55+1</f>
        <v>45</v>
      </c>
      <c r="B57" s="44" t="s">
        <v>37</v>
      </c>
      <c r="C57" s="1">
        <v>1.292</v>
      </c>
      <c r="D57" s="1">
        <v>9.8999999999999999E-4</v>
      </c>
      <c r="E57" s="1">
        <f t="shared" si="10"/>
        <v>1.2929900000000001</v>
      </c>
      <c r="F57" s="7">
        <f t="shared" si="9"/>
        <v>4.4200000000000003E-2</v>
      </c>
      <c r="G57" s="1">
        <f t="shared" si="1"/>
        <v>1.3527830089976984</v>
      </c>
      <c r="H57" s="2"/>
      <c r="I57" s="1">
        <f>VLOOKUP(B57,'fixed cost'!$B$4:$R$116,17,0)</f>
        <v>0.11369475</v>
      </c>
      <c r="J57" s="2"/>
      <c r="K57" s="2"/>
      <c r="L57" s="2"/>
      <c r="M57" s="2"/>
      <c r="N57" s="2"/>
      <c r="O57" s="1">
        <f t="shared" si="2"/>
        <v>1.4664777589976985</v>
      </c>
      <c r="P57" s="213">
        <v>1.248</v>
      </c>
      <c r="Q57" s="188">
        <f t="shared" si="3"/>
        <v>4.4000000000000039E-2</v>
      </c>
      <c r="R57" s="189">
        <f t="shared" si="4"/>
        <v>3.5256410256410291E-2</v>
      </c>
    </row>
    <row r="58" spans="1:18" s="27" customFormat="1" ht="15.75" customHeight="1" x14ac:dyDescent="0.25">
      <c r="A58" s="66">
        <f>A57+1</f>
        <v>46</v>
      </c>
      <c r="B58" s="46" t="s">
        <v>37</v>
      </c>
      <c r="C58" s="67">
        <f t="shared" ref="C58:D60" si="12">C57</f>
        <v>1.292</v>
      </c>
      <c r="D58" s="68">
        <f t="shared" si="12"/>
        <v>9.8999999999999999E-4</v>
      </c>
      <c r="E58" s="67">
        <f t="shared" si="10"/>
        <v>1.2929900000000001</v>
      </c>
      <c r="F58" s="184">
        <f t="shared" si="9"/>
        <v>4.4200000000000003E-2</v>
      </c>
      <c r="G58" s="67">
        <f t="shared" si="1"/>
        <v>1.3527830089976984</v>
      </c>
      <c r="H58" s="66"/>
      <c r="I58" s="67">
        <f>VLOOKUP(B58,'fixed cost'!$B$4:$R$116,17,0)</f>
        <v>0.11369475</v>
      </c>
      <c r="J58" s="66"/>
      <c r="K58" s="66"/>
      <c r="L58" s="66"/>
      <c r="M58" s="67">
        <f>VLOOKUP(B58,'fixed cost'!$B$4:$H$116,7,0)</f>
        <v>1.1259323539742558</v>
      </c>
      <c r="N58" s="67"/>
      <c r="O58" s="67">
        <f t="shared" si="2"/>
        <v>2.5924101129719546</v>
      </c>
      <c r="P58" s="67">
        <v>1.248</v>
      </c>
      <c r="Q58" s="188">
        <f t="shared" si="3"/>
        <v>4.4000000000000039E-2</v>
      </c>
      <c r="R58" s="189">
        <f t="shared" si="4"/>
        <v>3.5256410256410291E-2</v>
      </c>
    </row>
    <row r="59" spans="1:18" s="182" customFormat="1" ht="15.75" customHeight="1" x14ac:dyDescent="0.25">
      <c r="A59" s="58">
        <f>A58+1</f>
        <v>47</v>
      </c>
      <c r="B59" s="59" t="str">
        <f>B58</f>
        <v>KSTPS-III</v>
      </c>
      <c r="C59" s="60">
        <f t="shared" si="12"/>
        <v>1.292</v>
      </c>
      <c r="D59" s="60">
        <f t="shared" si="12"/>
        <v>9.8999999999999999E-4</v>
      </c>
      <c r="E59" s="60">
        <f t="shared" si="10"/>
        <v>1.2929900000000001</v>
      </c>
      <c r="F59" s="124">
        <f t="shared" si="9"/>
        <v>4.4200000000000003E-2</v>
      </c>
      <c r="G59" s="60">
        <f t="shared" si="1"/>
        <v>1.3527830089976984</v>
      </c>
      <c r="H59" s="58"/>
      <c r="I59" s="60">
        <f>VLOOKUP(B59,'fixed cost'!$B$4:$R$116,17,0)</f>
        <v>0.11369475</v>
      </c>
      <c r="J59" s="58"/>
      <c r="K59" s="58"/>
      <c r="L59" s="58"/>
      <c r="M59" s="125"/>
      <c r="N59" s="58">
        <v>0.55000000000000004</v>
      </c>
      <c r="O59" s="60">
        <f t="shared" si="2"/>
        <v>2.0164777589976985</v>
      </c>
      <c r="P59" s="60">
        <v>1.248</v>
      </c>
      <c r="Q59" s="188">
        <f t="shared" si="3"/>
        <v>4.4000000000000039E-2</v>
      </c>
      <c r="R59" s="189">
        <f t="shared" si="4"/>
        <v>3.5256410256410291E-2</v>
      </c>
    </row>
    <row r="60" spans="1:18" s="182" customFormat="1" ht="15.75" customHeight="1" x14ac:dyDescent="0.25">
      <c r="A60" s="146">
        <f>A59+1</f>
        <v>48</v>
      </c>
      <c r="B60" s="147" t="str">
        <f>B59</f>
        <v>KSTPS-III</v>
      </c>
      <c r="C60" s="148">
        <f t="shared" si="12"/>
        <v>1.292</v>
      </c>
      <c r="D60" s="149">
        <f t="shared" si="12"/>
        <v>9.8999999999999999E-4</v>
      </c>
      <c r="E60" s="148">
        <f t="shared" si="10"/>
        <v>1.2929900000000001</v>
      </c>
      <c r="F60" s="150">
        <f t="shared" si="9"/>
        <v>4.4200000000000003E-2</v>
      </c>
      <c r="G60" s="148">
        <f t="shared" si="1"/>
        <v>1.3527830089976984</v>
      </c>
      <c r="H60" s="146"/>
      <c r="I60" s="148">
        <f>VLOOKUP(B60,'fixed cost'!$B$4:$R$116,17,0)</f>
        <v>0.11369475</v>
      </c>
      <c r="J60" s="146"/>
      <c r="K60" s="146"/>
      <c r="L60" s="146"/>
      <c r="M60" s="146"/>
      <c r="N60" s="146">
        <v>0.75</v>
      </c>
      <c r="O60" s="148">
        <f t="shared" si="2"/>
        <v>2.2164777589976987</v>
      </c>
      <c r="P60" s="148">
        <v>1.248</v>
      </c>
      <c r="Q60" s="188">
        <f t="shared" si="3"/>
        <v>4.4000000000000039E-2</v>
      </c>
      <c r="R60" s="189">
        <f t="shared" si="4"/>
        <v>3.5256410256410291E-2</v>
      </c>
    </row>
    <row r="61" spans="1:18" s="57" customFormat="1" ht="15.75" customHeight="1" x14ac:dyDescent="0.25">
      <c r="A61" s="2">
        <f>A59+1</f>
        <v>48</v>
      </c>
      <c r="B61" s="4" t="s">
        <v>306</v>
      </c>
      <c r="C61" s="1">
        <v>1.728</v>
      </c>
      <c r="D61" s="1">
        <v>4.0000000000000001E-3</v>
      </c>
      <c r="E61" s="1">
        <f t="shared" si="10"/>
        <v>1.732</v>
      </c>
      <c r="F61" s="7">
        <f t="shared" si="9"/>
        <v>4.4200000000000003E-2</v>
      </c>
      <c r="G61" s="1">
        <f t="shared" si="1"/>
        <v>1.8120945804561623</v>
      </c>
      <c r="H61" s="2"/>
      <c r="I61" s="1">
        <f>VLOOKUP(B61,'fixed cost'!$B$4:$R$116,17,0)</f>
        <v>5.3370000000000001E-2</v>
      </c>
      <c r="J61" s="2">
        <v>0.1</v>
      </c>
      <c r="K61" s="2"/>
      <c r="L61" s="2"/>
      <c r="M61" s="2"/>
      <c r="N61" s="2"/>
      <c r="O61" s="1">
        <f t="shared" si="2"/>
        <v>1.9654645804561623</v>
      </c>
      <c r="P61" s="1">
        <v>1.7889999999999999</v>
      </c>
      <c r="Q61" s="188">
        <f t="shared" si="3"/>
        <v>-6.0999999999999943E-2</v>
      </c>
      <c r="R61" s="189">
        <f t="shared" si="4"/>
        <v>-3.4097261039686945E-2</v>
      </c>
    </row>
    <row r="62" spans="1:18" s="65" customFormat="1" ht="15.75" customHeight="1" x14ac:dyDescent="0.25">
      <c r="A62" s="62">
        <f>A60+1</f>
        <v>49</v>
      </c>
      <c r="B62" s="63" t="s">
        <v>304</v>
      </c>
      <c r="C62" s="64">
        <v>11.531000000000001</v>
      </c>
      <c r="D62" s="64"/>
      <c r="E62" s="64">
        <f t="shared" si="10"/>
        <v>11.531000000000001</v>
      </c>
      <c r="F62" s="178">
        <f t="shared" si="9"/>
        <v>4.4200000000000003E-2</v>
      </c>
      <c r="G62" s="64">
        <f t="shared" si="1"/>
        <v>12.064239380623562</v>
      </c>
      <c r="H62" s="62"/>
      <c r="I62" s="64">
        <f>VLOOKUP(B62,'fixed cost'!$B$4:$R$116,17,0)</f>
        <v>5.3370000000000001E-2</v>
      </c>
      <c r="J62" s="62">
        <v>0.1</v>
      </c>
      <c r="K62" s="62"/>
      <c r="L62" s="62"/>
      <c r="M62" s="62"/>
      <c r="N62" s="62"/>
      <c r="O62" s="64">
        <f t="shared" si="2"/>
        <v>12.217609380623561</v>
      </c>
      <c r="P62" s="64">
        <v>11.531000000000001</v>
      </c>
      <c r="Q62" s="209">
        <f t="shared" si="3"/>
        <v>0</v>
      </c>
      <c r="R62" s="210">
        <f t="shared" si="4"/>
        <v>0</v>
      </c>
    </row>
    <row r="63" spans="1:18" s="65" customFormat="1" ht="15.75" customHeight="1" x14ac:dyDescent="0.25">
      <c r="A63" s="62">
        <f>A61+1</f>
        <v>49</v>
      </c>
      <c r="B63" s="63" t="s">
        <v>305</v>
      </c>
      <c r="C63" s="64">
        <v>15.63</v>
      </c>
      <c r="D63" s="64"/>
      <c r="E63" s="64">
        <f t="shared" si="10"/>
        <v>15.63</v>
      </c>
      <c r="F63" s="178">
        <f t="shared" si="9"/>
        <v>4.4200000000000003E-2</v>
      </c>
      <c r="G63" s="64">
        <f t="shared" si="1"/>
        <v>16.35279347143754</v>
      </c>
      <c r="H63" s="62"/>
      <c r="I63" s="64">
        <f>I62</f>
        <v>5.3370000000000001E-2</v>
      </c>
      <c r="J63" s="62">
        <v>0.1</v>
      </c>
      <c r="K63" s="62"/>
      <c r="L63" s="62"/>
      <c r="M63" s="62"/>
      <c r="N63" s="62"/>
      <c r="O63" s="64">
        <f t="shared" si="2"/>
        <v>16.506163471437542</v>
      </c>
      <c r="P63" s="64">
        <v>15.63</v>
      </c>
      <c r="Q63" s="209">
        <f t="shared" si="3"/>
        <v>0</v>
      </c>
      <c r="R63" s="210">
        <f t="shared" si="4"/>
        <v>0</v>
      </c>
    </row>
    <row r="64" spans="1:18" s="57" customFormat="1" ht="15.75" customHeight="1" x14ac:dyDescent="0.25">
      <c r="A64" s="2">
        <f>A61+1</f>
        <v>49</v>
      </c>
      <c r="B64" s="4" t="s">
        <v>172</v>
      </c>
      <c r="C64" s="214">
        <v>1.224</v>
      </c>
      <c r="D64" s="1">
        <v>2E-3</v>
      </c>
      <c r="E64" s="1">
        <f t="shared" si="10"/>
        <v>1.226</v>
      </c>
      <c r="F64" s="7">
        <f>F61</f>
        <v>4.4200000000000003E-2</v>
      </c>
      <c r="G64" s="1">
        <f t="shared" si="1"/>
        <v>1.282695124503034</v>
      </c>
      <c r="H64" s="2"/>
      <c r="I64" s="1">
        <f>VLOOKUP(B64,'fixed cost'!$B$4:$R$116,17,0)</f>
        <v>0.11369475000000002</v>
      </c>
      <c r="J64" s="2"/>
      <c r="K64" s="2"/>
      <c r="L64" s="1">
        <v>3.9E-2</v>
      </c>
      <c r="M64" s="2"/>
      <c r="N64" s="2"/>
      <c r="O64" s="1">
        <f t="shared" si="2"/>
        <v>1.435389874503034</v>
      </c>
      <c r="P64" s="213">
        <v>1.214</v>
      </c>
      <c r="Q64" s="188">
        <f t="shared" si="3"/>
        <v>1.0000000000000009E-2</v>
      </c>
      <c r="R64" s="189">
        <f t="shared" si="4"/>
        <v>8.237232289950585E-3</v>
      </c>
    </row>
    <row r="65" spans="1:18" s="27" customFormat="1" ht="15.75" customHeight="1" x14ac:dyDescent="0.25">
      <c r="A65" s="66">
        <f>A64+1</f>
        <v>50</v>
      </c>
      <c r="B65" s="46" t="s">
        <v>172</v>
      </c>
      <c r="C65" s="67">
        <f t="shared" ref="C65:D67" si="13">C64</f>
        <v>1.224</v>
      </c>
      <c r="D65" s="67">
        <f t="shared" si="13"/>
        <v>2E-3</v>
      </c>
      <c r="E65" s="67">
        <f t="shared" si="10"/>
        <v>1.226</v>
      </c>
      <c r="F65" s="184">
        <f>F64</f>
        <v>4.4200000000000003E-2</v>
      </c>
      <c r="G65" s="67">
        <f t="shared" si="1"/>
        <v>1.282695124503034</v>
      </c>
      <c r="H65" s="66"/>
      <c r="I65" s="67">
        <f>VLOOKUP(B65,'fixed cost'!$B$4:$R$116,17,0)</f>
        <v>0.11369475000000002</v>
      </c>
      <c r="J65" s="66"/>
      <c r="K65" s="66"/>
      <c r="L65" s="67">
        <f>L64</f>
        <v>3.9E-2</v>
      </c>
      <c r="M65" s="67">
        <f>VLOOKUP(B65,'fixed cost'!$B$4:$H$116,7,0)</f>
        <v>2.2835364224538699</v>
      </c>
      <c r="N65" s="66"/>
      <c r="O65" s="67">
        <f t="shared" si="2"/>
        <v>3.7189262969569041</v>
      </c>
      <c r="P65" s="67">
        <v>1.214</v>
      </c>
      <c r="Q65" s="188">
        <f t="shared" si="3"/>
        <v>1.0000000000000009E-2</v>
      </c>
      <c r="R65" s="189">
        <f t="shared" si="4"/>
        <v>8.237232289950585E-3</v>
      </c>
    </row>
    <row r="66" spans="1:18" s="182" customFormat="1" ht="15.75" customHeight="1" x14ac:dyDescent="0.25">
      <c r="A66" s="58">
        <f>A65+1</f>
        <v>51</v>
      </c>
      <c r="B66" s="59" t="s">
        <v>172</v>
      </c>
      <c r="C66" s="60">
        <f t="shared" si="13"/>
        <v>1.224</v>
      </c>
      <c r="D66" s="60">
        <f t="shared" si="13"/>
        <v>2E-3</v>
      </c>
      <c r="E66" s="60">
        <f t="shared" si="10"/>
        <v>1.226</v>
      </c>
      <c r="F66" s="124">
        <f>F65</f>
        <v>4.4200000000000003E-2</v>
      </c>
      <c r="G66" s="60">
        <f t="shared" si="1"/>
        <v>1.282695124503034</v>
      </c>
      <c r="H66" s="58"/>
      <c r="I66" s="60">
        <f>VLOOKUP(B66,'fixed cost'!$B$4:$R$116,17,0)</f>
        <v>0.11369475000000002</v>
      </c>
      <c r="J66" s="58"/>
      <c r="K66" s="58"/>
      <c r="L66" s="60">
        <f>L65</f>
        <v>3.9E-2</v>
      </c>
      <c r="M66" s="125"/>
      <c r="N66" s="58">
        <v>0.55000000000000004</v>
      </c>
      <c r="O66" s="60">
        <f t="shared" si="2"/>
        <v>1.9853898745030341</v>
      </c>
      <c r="P66" s="60">
        <v>1.214</v>
      </c>
      <c r="Q66" s="188">
        <f t="shared" si="3"/>
        <v>1.0000000000000009E-2</v>
      </c>
      <c r="R66" s="189">
        <f t="shared" si="4"/>
        <v>8.237232289950585E-3</v>
      </c>
    </row>
    <row r="67" spans="1:18" s="182" customFormat="1" ht="15.75" customHeight="1" x14ac:dyDescent="0.25">
      <c r="A67" s="146">
        <f>A66+1</f>
        <v>52</v>
      </c>
      <c r="B67" s="147" t="s">
        <v>172</v>
      </c>
      <c r="C67" s="148">
        <f t="shared" si="13"/>
        <v>1.224</v>
      </c>
      <c r="D67" s="149">
        <f t="shared" si="13"/>
        <v>2E-3</v>
      </c>
      <c r="E67" s="148">
        <f t="shared" si="10"/>
        <v>1.226</v>
      </c>
      <c r="F67" s="150">
        <f>F66</f>
        <v>4.4200000000000003E-2</v>
      </c>
      <c r="G67" s="148">
        <f t="shared" si="1"/>
        <v>1.282695124503034</v>
      </c>
      <c r="H67" s="146"/>
      <c r="I67" s="148">
        <f>VLOOKUP(B67,'fixed cost'!$B$4:$R$116,17,0)</f>
        <v>0.11369475000000002</v>
      </c>
      <c r="J67" s="146"/>
      <c r="K67" s="146"/>
      <c r="L67" s="148">
        <f>L66</f>
        <v>3.9E-2</v>
      </c>
      <c r="M67" s="146"/>
      <c r="N67" s="146">
        <v>0.75</v>
      </c>
      <c r="O67" s="148">
        <f t="shared" si="2"/>
        <v>2.1853898745030342</v>
      </c>
      <c r="P67" s="148">
        <v>1.214</v>
      </c>
      <c r="Q67" s="188">
        <f t="shared" si="3"/>
        <v>1.0000000000000009E-2</v>
      </c>
      <c r="R67" s="189">
        <f t="shared" si="4"/>
        <v>8.237232289950585E-3</v>
      </c>
    </row>
    <row r="68" spans="1:18" s="99" customFormat="1" ht="15.75" customHeight="1" x14ac:dyDescent="0.25">
      <c r="A68" s="2">
        <f>A65+1</f>
        <v>51</v>
      </c>
      <c r="B68" s="97" t="s">
        <v>58</v>
      </c>
      <c r="C68" s="98">
        <v>1.425</v>
      </c>
      <c r="D68" s="96"/>
      <c r="E68" s="98">
        <f t="shared" si="10"/>
        <v>1.425</v>
      </c>
      <c r="F68" s="96"/>
      <c r="G68" s="98">
        <f t="shared" si="1"/>
        <v>1.425</v>
      </c>
      <c r="H68" s="96"/>
      <c r="I68" s="98">
        <f>VLOOKUP(B68,'fixed cost'!$B$4:$R$116,17,0)</f>
        <v>0</v>
      </c>
      <c r="J68" s="96"/>
      <c r="K68" s="96"/>
      <c r="L68" s="96"/>
      <c r="M68" s="96"/>
      <c r="N68" s="96"/>
      <c r="O68" s="98">
        <f t="shared" si="2"/>
        <v>1.425</v>
      </c>
      <c r="P68" s="98">
        <v>1.425</v>
      </c>
      <c r="Q68" s="188">
        <f t="shared" si="3"/>
        <v>0</v>
      </c>
      <c r="R68" s="189">
        <f t="shared" si="4"/>
        <v>0</v>
      </c>
    </row>
    <row r="69" spans="1:18" ht="15.75" customHeight="1" x14ac:dyDescent="0.25">
      <c r="A69" s="2">
        <f t="shared" ref="A69:A82" si="14">A68+1</f>
        <v>52</v>
      </c>
      <c r="B69" s="44" t="s">
        <v>18</v>
      </c>
      <c r="C69" s="1">
        <v>3.226</v>
      </c>
      <c r="D69" s="9">
        <v>-3.5999999999999997E-2</v>
      </c>
      <c r="E69" s="1">
        <f t="shared" si="10"/>
        <v>3.19</v>
      </c>
      <c r="F69" s="7">
        <f>F65</f>
        <v>4.4200000000000003E-2</v>
      </c>
      <c r="G69" s="1">
        <f t="shared" si="1"/>
        <v>3.3375183092697216</v>
      </c>
      <c r="H69" s="2"/>
      <c r="I69" s="1">
        <f>VLOOKUP(B69,'fixed cost'!$B$4:$R$116,17,0)</f>
        <v>0</v>
      </c>
      <c r="J69" s="2"/>
      <c r="K69" s="2"/>
      <c r="L69" s="2"/>
      <c r="M69" s="2"/>
      <c r="N69" s="2"/>
      <c r="O69" s="1">
        <f t="shared" si="2"/>
        <v>3.3375183092697216</v>
      </c>
      <c r="P69" s="213">
        <v>3.1659999999999999</v>
      </c>
      <c r="Q69" s="188">
        <f t="shared" si="3"/>
        <v>6.0000000000000053E-2</v>
      </c>
      <c r="R69" s="189">
        <f t="shared" si="4"/>
        <v>1.8951358180669634E-2</v>
      </c>
    </row>
    <row r="70" spans="1:18" s="27" customFormat="1" ht="15.75" customHeight="1" x14ac:dyDescent="0.25">
      <c r="A70" s="66">
        <f t="shared" si="14"/>
        <v>53</v>
      </c>
      <c r="B70" s="46" t="s">
        <v>18</v>
      </c>
      <c r="C70" s="67">
        <f>C69</f>
        <v>3.226</v>
      </c>
      <c r="D70" s="67">
        <f>D69</f>
        <v>-3.5999999999999997E-2</v>
      </c>
      <c r="E70" s="67">
        <f t="shared" si="10"/>
        <v>3.19</v>
      </c>
      <c r="F70" s="184">
        <f>F69</f>
        <v>4.4200000000000003E-2</v>
      </c>
      <c r="G70" s="67">
        <f t="shared" ref="G70:G104" si="15">E70/((100%-F70))</f>
        <v>3.3375183092697216</v>
      </c>
      <c r="H70" s="66"/>
      <c r="I70" s="67">
        <f>VLOOKUP(B70,'fixed cost'!$B$4:$R$116,17,0)</f>
        <v>0</v>
      </c>
      <c r="J70" s="66"/>
      <c r="K70" s="66"/>
      <c r="L70" s="66"/>
      <c r="M70" s="67">
        <f>VLOOKUP(B70,'fixed cost'!$B$4:$H$116,7,0)</f>
        <v>1.6931572396408874</v>
      </c>
      <c r="N70" s="67"/>
      <c r="O70" s="1">
        <f t="shared" ref="O70:O133" si="16">SUM(G70:N70)</f>
        <v>5.030675548910609</v>
      </c>
      <c r="P70" s="67">
        <v>3.1659999999999999</v>
      </c>
      <c r="Q70" s="188">
        <f t="shared" ref="Q70:Q133" si="17">C70-P70</f>
        <v>6.0000000000000053E-2</v>
      </c>
      <c r="R70" s="189">
        <f t="shared" ref="R70:R133" si="18">Q70/P70</f>
        <v>1.8951358180669634E-2</v>
      </c>
    </row>
    <row r="71" spans="1:18" ht="15.75" customHeight="1" x14ac:dyDescent="0.25">
      <c r="A71" s="2">
        <f t="shared" si="14"/>
        <v>54</v>
      </c>
      <c r="B71" s="44" t="s">
        <v>103</v>
      </c>
      <c r="C71" s="1">
        <v>3.1520000000000001</v>
      </c>
      <c r="D71" s="9">
        <v>-3.49E-2</v>
      </c>
      <c r="E71" s="1">
        <f t="shared" si="10"/>
        <v>3.1171000000000002</v>
      </c>
      <c r="F71" s="7">
        <f>F70</f>
        <v>4.4200000000000003E-2</v>
      </c>
      <c r="G71" s="1">
        <f t="shared" si="15"/>
        <v>3.2612471228290438</v>
      </c>
      <c r="H71" s="2"/>
      <c r="I71" s="1">
        <f>VLOOKUP(B71,'fixed cost'!$B$4:$R$116,17,0)</f>
        <v>0</v>
      </c>
      <c r="J71" s="2"/>
      <c r="K71" s="2"/>
      <c r="L71" s="2">
        <v>7.0999999999999994E-2</v>
      </c>
      <c r="M71" s="2"/>
      <c r="N71" s="2"/>
      <c r="O71" s="1">
        <f t="shared" si="16"/>
        <v>3.332247122829044</v>
      </c>
      <c r="P71" s="213">
        <v>3.1469999999999998</v>
      </c>
      <c r="Q71" s="188">
        <f t="shared" si="17"/>
        <v>5.0000000000003375E-3</v>
      </c>
      <c r="R71" s="189">
        <f t="shared" si="18"/>
        <v>1.5888147442009335E-3</v>
      </c>
    </row>
    <row r="72" spans="1:18" s="27" customFormat="1" ht="15.75" customHeight="1" x14ac:dyDescent="0.25">
      <c r="A72" s="66">
        <f t="shared" si="14"/>
        <v>55</v>
      </c>
      <c r="B72" s="46" t="s">
        <v>103</v>
      </c>
      <c r="C72" s="67">
        <f>C71</f>
        <v>3.1520000000000001</v>
      </c>
      <c r="D72" s="67">
        <f>D71</f>
        <v>-3.49E-2</v>
      </c>
      <c r="E72" s="67">
        <f t="shared" si="10"/>
        <v>3.1171000000000002</v>
      </c>
      <c r="F72" s="184">
        <f>F71</f>
        <v>4.4200000000000003E-2</v>
      </c>
      <c r="G72" s="67">
        <f t="shared" si="15"/>
        <v>3.2612471228290438</v>
      </c>
      <c r="H72" s="66"/>
      <c r="I72" s="67">
        <f>VLOOKUP(B72,'fixed cost'!$B$4:$R$116,17,0)</f>
        <v>0</v>
      </c>
      <c r="J72" s="66"/>
      <c r="K72" s="66"/>
      <c r="L72" s="66">
        <f>L71</f>
        <v>7.0999999999999994E-2</v>
      </c>
      <c r="M72" s="67">
        <f>VLOOKUP(B72,'fixed cost'!$B$4:$H$116,7,0)</f>
        <v>1.5812064046246714</v>
      </c>
      <c r="N72" s="67"/>
      <c r="O72" s="67">
        <f t="shared" si="16"/>
        <v>4.913453527453715</v>
      </c>
      <c r="P72" s="67">
        <v>3.1469999999999998</v>
      </c>
      <c r="Q72" s="188">
        <f t="shared" si="17"/>
        <v>5.0000000000003375E-3</v>
      </c>
      <c r="R72" s="189">
        <f t="shared" si="18"/>
        <v>1.5888147442009335E-3</v>
      </c>
    </row>
    <row r="73" spans="1:18" ht="15.75" customHeight="1" x14ac:dyDescent="0.25">
      <c r="A73" s="2">
        <f t="shared" si="14"/>
        <v>56</v>
      </c>
      <c r="B73" s="4" t="s">
        <v>70</v>
      </c>
      <c r="C73" s="2">
        <v>2.9510000000000001</v>
      </c>
      <c r="D73" s="1"/>
      <c r="E73" s="1">
        <f t="shared" si="10"/>
        <v>2.9510000000000001</v>
      </c>
      <c r="F73" s="7">
        <f>F72</f>
        <v>4.4200000000000003E-2</v>
      </c>
      <c r="G73" s="1">
        <f t="shared" si="15"/>
        <v>3.0874659970705172</v>
      </c>
      <c r="H73" s="2">
        <v>0.15</v>
      </c>
      <c r="I73" s="1">
        <f>VLOOKUP(B73,'fixed cost'!$B$4:$R$116,17,0)</f>
        <v>4.7625000000000001E-2</v>
      </c>
      <c r="J73" s="2"/>
      <c r="K73" s="2"/>
      <c r="L73" s="2">
        <v>4.2000000000000003E-2</v>
      </c>
      <c r="M73" s="2"/>
      <c r="N73" s="2"/>
      <c r="O73" s="1">
        <f t="shared" si="16"/>
        <v>3.3270909970705169</v>
      </c>
      <c r="P73" s="1">
        <v>2.8679999999999999</v>
      </c>
      <c r="Q73" s="188">
        <f t="shared" si="17"/>
        <v>8.3000000000000185E-2</v>
      </c>
      <c r="R73" s="189">
        <f t="shared" si="18"/>
        <v>2.8940027894002854E-2</v>
      </c>
    </row>
    <row r="74" spans="1:18" s="65" customFormat="1" ht="15.75" customHeight="1" x14ac:dyDescent="0.25">
      <c r="A74" s="62">
        <f t="shared" si="14"/>
        <v>57</v>
      </c>
      <c r="B74" s="63" t="s">
        <v>101</v>
      </c>
      <c r="C74" s="64">
        <v>4.38</v>
      </c>
      <c r="D74" s="64"/>
      <c r="E74" s="64">
        <f t="shared" si="10"/>
        <v>4.38</v>
      </c>
      <c r="F74" s="178"/>
      <c r="G74" s="64">
        <f t="shared" si="15"/>
        <v>4.38</v>
      </c>
      <c r="H74" s="179"/>
      <c r="I74" s="64">
        <f>VLOOKUP(B74,'fixed cost'!$B$4:$R$116,17,0)</f>
        <v>0</v>
      </c>
      <c r="J74" s="62"/>
      <c r="K74" s="62"/>
      <c r="L74" s="62"/>
      <c r="M74" s="64"/>
      <c r="N74" s="64"/>
      <c r="O74" s="64">
        <f t="shared" si="16"/>
        <v>4.38</v>
      </c>
      <c r="P74" s="64">
        <v>4.38</v>
      </c>
      <c r="Q74" s="188">
        <f t="shared" si="17"/>
        <v>0</v>
      </c>
      <c r="R74" s="189">
        <f t="shared" si="18"/>
        <v>0</v>
      </c>
    </row>
    <row r="75" spans="1:18" s="99" customFormat="1" ht="15.75" customHeight="1" x14ac:dyDescent="0.25">
      <c r="A75" s="96">
        <f t="shared" si="14"/>
        <v>58</v>
      </c>
      <c r="B75" s="97" t="s">
        <v>45</v>
      </c>
      <c r="C75" s="98">
        <v>0.58399999999999996</v>
      </c>
      <c r="D75" s="96"/>
      <c r="E75" s="98">
        <f t="shared" si="10"/>
        <v>0.58399999999999996</v>
      </c>
      <c r="F75" s="96"/>
      <c r="G75" s="98">
        <f t="shared" si="15"/>
        <v>0.58399999999999996</v>
      </c>
      <c r="H75" s="96"/>
      <c r="I75" s="98">
        <f>VLOOKUP(B75,'fixed cost'!$B$4:$R$116,17,0)</f>
        <v>0</v>
      </c>
      <c r="J75" s="96"/>
      <c r="K75" s="96"/>
      <c r="L75" s="96"/>
      <c r="M75" s="96"/>
      <c r="N75" s="96"/>
      <c r="O75" s="98">
        <f t="shared" si="16"/>
        <v>0.58399999999999996</v>
      </c>
      <c r="P75" s="98">
        <v>0.58399999999999996</v>
      </c>
      <c r="Q75" s="188">
        <f t="shared" si="17"/>
        <v>0</v>
      </c>
      <c r="R75" s="189">
        <f t="shared" si="18"/>
        <v>0</v>
      </c>
    </row>
    <row r="76" spans="1:18" s="99" customFormat="1" ht="15.75" customHeight="1" x14ac:dyDescent="0.25">
      <c r="A76" s="96">
        <f t="shared" si="14"/>
        <v>59</v>
      </c>
      <c r="B76" s="97" t="s">
        <v>68</v>
      </c>
      <c r="C76" s="98">
        <v>1.51</v>
      </c>
      <c r="D76" s="96"/>
      <c r="E76" s="98">
        <f t="shared" si="10"/>
        <v>1.51</v>
      </c>
      <c r="F76" s="96"/>
      <c r="G76" s="98">
        <f t="shared" si="15"/>
        <v>1.51</v>
      </c>
      <c r="H76" s="96"/>
      <c r="I76" s="98">
        <f>VLOOKUP(B76,'fixed cost'!$B$4:$R$116,17,0)</f>
        <v>0</v>
      </c>
      <c r="J76" s="96"/>
      <c r="K76" s="96"/>
      <c r="L76" s="96"/>
      <c r="M76" s="96"/>
      <c r="N76" s="96"/>
      <c r="O76" s="98">
        <f t="shared" si="16"/>
        <v>1.51</v>
      </c>
      <c r="P76" s="98">
        <v>1.51</v>
      </c>
      <c r="Q76" s="188">
        <f t="shared" si="17"/>
        <v>0</v>
      </c>
      <c r="R76" s="189">
        <f t="shared" si="18"/>
        <v>0</v>
      </c>
    </row>
    <row r="77" spans="1:18" s="99" customFormat="1" x14ac:dyDescent="0.25">
      <c r="A77" s="96">
        <f t="shared" si="14"/>
        <v>60</v>
      </c>
      <c r="B77" s="97" t="s">
        <v>35</v>
      </c>
      <c r="C77" s="98">
        <v>0.98399999999999999</v>
      </c>
      <c r="D77" s="96"/>
      <c r="E77" s="98">
        <f t="shared" si="10"/>
        <v>0.98399999999999999</v>
      </c>
      <c r="F77" s="96"/>
      <c r="G77" s="98">
        <f t="shared" si="15"/>
        <v>0.98399999999999999</v>
      </c>
      <c r="H77" s="96"/>
      <c r="I77" s="98">
        <f>VLOOKUP(B77,'fixed cost'!$B$4:$R$116,17,0)</f>
        <v>0</v>
      </c>
      <c r="J77" s="96"/>
      <c r="K77" s="96"/>
      <c r="L77" s="96"/>
      <c r="M77" s="96"/>
      <c r="N77" s="96"/>
      <c r="O77" s="98">
        <f t="shared" si="16"/>
        <v>0.98399999999999999</v>
      </c>
      <c r="P77" s="98">
        <v>0.98399999999999999</v>
      </c>
      <c r="Q77" s="188">
        <f t="shared" si="17"/>
        <v>0</v>
      </c>
      <c r="R77" s="189">
        <f t="shared" si="18"/>
        <v>0</v>
      </c>
    </row>
    <row r="78" spans="1:18" s="27" customFormat="1" ht="15.75" customHeight="1" x14ac:dyDescent="0.25">
      <c r="A78" s="2">
        <f t="shared" si="14"/>
        <v>61</v>
      </c>
      <c r="B78" s="4" t="s">
        <v>43</v>
      </c>
      <c r="C78" s="1">
        <v>1.14953273</v>
      </c>
      <c r="D78" s="1"/>
      <c r="E78" s="1">
        <f t="shared" si="10"/>
        <v>1.14953273</v>
      </c>
      <c r="F78" s="7">
        <f>F73</f>
        <v>4.4200000000000003E-2</v>
      </c>
      <c r="G78" s="1">
        <f t="shared" si="15"/>
        <v>1.202691703285206</v>
      </c>
      <c r="H78" s="2">
        <v>0.15</v>
      </c>
      <c r="I78" s="1">
        <f>VLOOKUP(B78,'fixed cost'!$B$4:$R$116,17,0)</f>
        <v>3.8347439041159732E-2</v>
      </c>
      <c r="J78" s="2"/>
      <c r="K78" s="2"/>
      <c r="L78" s="1">
        <v>0.16500000000000001</v>
      </c>
      <c r="M78" s="2"/>
      <c r="N78" s="2"/>
      <c r="O78" s="1">
        <f t="shared" si="16"/>
        <v>1.5560391423263658</v>
      </c>
      <c r="P78" s="1">
        <v>1.14953273</v>
      </c>
      <c r="Q78" s="188">
        <f t="shared" si="17"/>
        <v>0</v>
      </c>
      <c r="R78" s="189">
        <f t="shared" si="18"/>
        <v>0</v>
      </c>
    </row>
    <row r="79" spans="1:18" s="27" customFormat="1" ht="15.75" customHeight="1" x14ac:dyDescent="0.25">
      <c r="A79" s="66">
        <f t="shared" si="14"/>
        <v>62</v>
      </c>
      <c r="B79" s="46" t="s">
        <v>43</v>
      </c>
      <c r="C79" s="67">
        <f>C78</f>
        <v>1.14953273</v>
      </c>
      <c r="D79" s="67">
        <f>D78</f>
        <v>0</v>
      </c>
      <c r="E79" s="67">
        <f t="shared" si="10"/>
        <v>1.14953273</v>
      </c>
      <c r="F79" s="184">
        <f>F78</f>
        <v>4.4200000000000003E-2</v>
      </c>
      <c r="G79" s="67">
        <f t="shared" si="15"/>
        <v>1.202691703285206</v>
      </c>
      <c r="H79" s="66">
        <v>0.15</v>
      </c>
      <c r="I79" s="67">
        <f>VLOOKUP(B79,'fixed cost'!$B$4:$R$116,17,0)</f>
        <v>3.8347439041159732E-2</v>
      </c>
      <c r="J79" s="66"/>
      <c r="K79" s="66"/>
      <c r="L79" s="67">
        <f>L78</f>
        <v>0.16500000000000001</v>
      </c>
      <c r="M79" s="67">
        <f>VLOOKUP(B79,'fixed cost'!$B$4:$H$116,7,0)</f>
        <v>0.16570016000000001</v>
      </c>
      <c r="N79" s="67"/>
      <c r="O79" s="67">
        <f t="shared" si="16"/>
        <v>1.7217393023263659</v>
      </c>
      <c r="P79" s="67">
        <v>1.14953273</v>
      </c>
      <c r="Q79" s="188">
        <f t="shared" si="17"/>
        <v>0</v>
      </c>
      <c r="R79" s="189">
        <f t="shared" si="18"/>
        <v>0</v>
      </c>
    </row>
    <row r="80" spans="1:18" s="27" customFormat="1" ht="15.75" customHeight="1" x14ac:dyDescent="0.25">
      <c r="A80" s="2">
        <f t="shared" si="14"/>
        <v>63</v>
      </c>
      <c r="B80" s="4" t="s">
        <v>25</v>
      </c>
      <c r="C80" s="1">
        <v>2.399</v>
      </c>
      <c r="D80" s="1">
        <v>-2E-3</v>
      </c>
      <c r="E80" s="1">
        <f t="shared" si="10"/>
        <v>2.3970000000000002</v>
      </c>
      <c r="F80" s="7"/>
      <c r="G80" s="1">
        <f t="shared" si="15"/>
        <v>2.3970000000000002</v>
      </c>
      <c r="H80" s="2"/>
      <c r="I80" s="1">
        <f>VLOOKUP(B80,'fixed cost'!$B$4:$R$116,17,0)</f>
        <v>0</v>
      </c>
      <c r="J80" s="2"/>
      <c r="K80" s="2"/>
      <c r="L80" s="2"/>
      <c r="M80" s="2"/>
      <c r="N80" s="2"/>
      <c r="O80" s="1">
        <f t="shared" si="16"/>
        <v>2.3970000000000002</v>
      </c>
      <c r="P80" s="1">
        <v>2.3769999999999998</v>
      </c>
      <c r="Q80" s="188">
        <f t="shared" si="17"/>
        <v>2.2000000000000242E-2</v>
      </c>
      <c r="R80" s="189">
        <f t="shared" si="18"/>
        <v>9.255363904080877E-3</v>
      </c>
    </row>
    <row r="81" spans="1:18" s="61" customFormat="1" ht="15.75" customHeight="1" x14ac:dyDescent="0.25">
      <c r="A81" s="58">
        <f t="shared" si="14"/>
        <v>64</v>
      </c>
      <c r="B81" s="59" t="s">
        <v>25</v>
      </c>
      <c r="C81" s="60">
        <f>C80</f>
        <v>2.399</v>
      </c>
      <c r="D81" s="60"/>
      <c r="E81" s="60">
        <f t="shared" si="10"/>
        <v>2.399</v>
      </c>
      <c r="F81" s="124"/>
      <c r="G81" s="60">
        <f t="shared" si="15"/>
        <v>2.399</v>
      </c>
      <c r="H81" s="58"/>
      <c r="I81" s="60">
        <f>VLOOKUP(B81,'fixed cost'!$B$4:$R$116,17,0)</f>
        <v>0</v>
      </c>
      <c r="J81" s="58"/>
      <c r="K81" s="58"/>
      <c r="L81" s="58"/>
      <c r="M81" s="125"/>
      <c r="N81" s="58">
        <v>0.55000000000000004</v>
      </c>
      <c r="O81" s="60">
        <f t="shared" si="16"/>
        <v>2.9489999999999998</v>
      </c>
      <c r="P81" s="60">
        <v>2.3769999999999998</v>
      </c>
      <c r="Q81" s="188">
        <f t="shared" si="17"/>
        <v>2.2000000000000242E-2</v>
      </c>
      <c r="R81" s="189">
        <f t="shared" si="18"/>
        <v>9.255363904080877E-3</v>
      </c>
    </row>
    <row r="82" spans="1:18" s="61" customFormat="1" ht="15.75" customHeight="1" x14ac:dyDescent="0.25">
      <c r="A82" s="146">
        <f t="shared" si="14"/>
        <v>65</v>
      </c>
      <c r="B82" s="147" t="s">
        <v>25</v>
      </c>
      <c r="C82" s="148">
        <f>C81</f>
        <v>2.399</v>
      </c>
      <c r="D82" s="148"/>
      <c r="E82" s="148">
        <f t="shared" si="10"/>
        <v>2.399</v>
      </c>
      <c r="F82" s="150"/>
      <c r="G82" s="148">
        <f t="shared" si="15"/>
        <v>2.399</v>
      </c>
      <c r="H82" s="146"/>
      <c r="I82" s="148">
        <f>VLOOKUP(B82,'fixed cost'!$B$4:$R$116,17,0)</f>
        <v>0</v>
      </c>
      <c r="J82" s="146"/>
      <c r="K82" s="146"/>
      <c r="L82" s="146"/>
      <c r="M82" s="153"/>
      <c r="N82" s="146">
        <v>0.75</v>
      </c>
      <c r="O82" s="148">
        <f t="shared" si="16"/>
        <v>3.149</v>
      </c>
      <c r="P82" s="148">
        <v>2.3769999999999998</v>
      </c>
      <c r="Q82" s="188">
        <f t="shared" si="17"/>
        <v>2.2000000000000242E-2</v>
      </c>
      <c r="R82" s="189">
        <f t="shared" si="18"/>
        <v>9.255363904080877E-3</v>
      </c>
    </row>
    <row r="83" spans="1:18" s="27" customFormat="1" ht="15.75" customHeight="1" x14ac:dyDescent="0.25">
      <c r="A83" s="2">
        <f>A81+1</f>
        <v>65</v>
      </c>
      <c r="B83" s="4" t="s">
        <v>22</v>
      </c>
      <c r="C83" s="1">
        <v>3.0640000000000001</v>
      </c>
      <c r="D83" s="1">
        <v>3.0000000000000001E-3</v>
      </c>
      <c r="E83" s="1">
        <f t="shared" si="10"/>
        <v>3.0670000000000002</v>
      </c>
      <c r="F83" s="7"/>
      <c r="G83" s="1">
        <f t="shared" si="15"/>
        <v>3.0670000000000002</v>
      </c>
      <c r="H83" s="2"/>
      <c r="I83" s="1">
        <f>VLOOKUP(B83,'fixed cost'!$B$4:$R$116,17,0)</f>
        <v>0</v>
      </c>
      <c r="J83" s="2"/>
      <c r="K83" s="2"/>
      <c r="L83" s="2"/>
      <c r="M83" s="2"/>
      <c r="N83" s="2"/>
      <c r="O83" s="1">
        <f t="shared" si="16"/>
        <v>3.0670000000000002</v>
      </c>
      <c r="P83" s="1">
        <v>3.0640000000000001</v>
      </c>
      <c r="Q83" s="188">
        <f t="shared" si="17"/>
        <v>0</v>
      </c>
      <c r="R83" s="189">
        <f t="shared" si="18"/>
        <v>0</v>
      </c>
    </row>
    <row r="84" spans="1:18" ht="15.75" customHeight="1" x14ac:dyDescent="0.25">
      <c r="A84" s="2">
        <f>A83+1</f>
        <v>66</v>
      </c>
      <c r="B84" s="4" t="s">
        <v>29</v>
      </c>
      <c r="C84" s="214">
        <v>1.212</v>
      </c>
      <c r="D84" s="1">
        <v>-7.9900000000000006E-3</v>
      </c>
      <c r="E84" s="1">
        <f t="shared" si="10"/>
        <v>1.20401</v>
      </c>
      <c r="F84" s="7">
        <f>F79</f>
        <v>4.4200000000000003E-2</v>
      </c>
      <c r="G84" s="1">
        <f t="shared" si="15"/>
        <v>1.2596882192927392</v>
      </c>
      <c r="H84" s="2"/>
      <c r="I84" s="1">
        <f>VLOOKUP(B84,'fixed cost'!$B$4:$R$116,17,0)</f>
        <v>0.11823725</v>
      </c>
      <c r="J84" s="2"/>
      <c r="K84" s="2"/>
      <c r="L84" s="1">
        <v>3.4000000000000002E-2</v>
      </c>
      <c r="M84" s="2"/>
      <c r="N84" s="2"/>
      <c r="O84" s="1">
        <f t="shared" si="16"/>
        <v>1.4119254692927392</v>
      </c>
      <c r="P84" s="213">
        <v>1.212</v>
      </c>
      <c r="Q84" s="188">
        <f t="shared" si="17"/>
        <v>0</v>
      </c>
      <c r="R84" s="189">
        <f t="shared" si="18"/>
        <v>0</v>
      </c>
    </row>
    <row r="85" spans="1:18" s="27" customFormat="1" ht="15.75" customHeight="1" x14ac:dyDescent="0.25">
      <c r="A85" s="2">
        <f>A84+1</f>
        <v>67</v>
      </c>
      <c r="B85" s="46" t="s">
        <v>29</v>
      </c>
      <c r="C85" s="67">
        <f t="shared" ref="C85:D87" si="19">C84</f>
        <v>1.212</v>
      </c>
      <c r="D85" s="68">
        <f t="shared" si="19"/>
        <v>-7.9900000000000006E-3</v>
      </c>
      <c r="E85" s="67">
        <f t="shared" si="10"/>
        <v>1.20401</v>
      </c>
      <c r="F85" s="184">
        <f t="shared" ref="F85:F94" si="20">F84</f>
        <v>4.4200000000000003E-2</v>
      </c>
      <c r="G85" s="67">
        <f t="shared" si="15"/>
        <v>1.2596882192927392</v>
      </c>
      <c r="H85" s="66"/>
      <c r="I85" s="67">
        <f>VLOOKUP(B85,'fixed cost'!$B$4:$R$116,17,0)</f>
        <v>0.11823725</v>
      </c>
      <c r="J85" s="66"/>
      <c r="K85" s="66"/>
      <c r="L85" s="67">
        <f>L84</f>
        <v>3.4000000000000002E-2</v>
      </c>
      <c r="M85" s="67">
        <f>VLOOKUP(B85,'fixed cost'!$B$4:$H$116,7,0)</f>
        <v>1.2557147073249215</v>
      </c>
      <c r="N85" s="67"/>
      <c r="O85" s="67">
        <f t="shared" si="16"/>
        <v>2.6676401766176605</v>
      </c>
      <c r="P85" s="67">
        <v>1.212</v>
      </c>
      <c r="Q85" s="188">
        <f t="shared" si="17"/>
        <v>0</v>
      </c>
      <c r="R85" s="189">
        <f t="shared" si="18"/>
        <v>0</v>
      </c>
    </row>
    <row r="86" spans="1:18" s="61" customFormat="1" ht="15.75" customHeight="1" x14ac:dyDescent="0.25">
      <c r="A86" s="2">
        <f>A85+1</f>
        <v>68</v>
      </c>
      <c r="B86" s="59" t="str">
        <f>B85</f>
        <v>SIPAT I</v>
      </c>
      <c r="C86" s="60">
        <f t="shared" si="19"/>
        <v>1.212</v>
      </c>
      <c r="D86" s="85">
        <f t="shared" si="19"/>
        <v>-7.9900000000000006E-3</v>
      </c>
      <c r="E86" s="60">
        <f t="shared" si="10"/>
        <v>1.20401</v>
      </c>
      <c r="F86" s="124">
        <f t="shared" si="20"/>
        <v>4.4200000000000003E-2</v>
      </c>
      <c r="G86" s="60">
        <f t="shared" si="15"/>
        <v>1.2596882192927392</v>
      </c>
      <c r="H86" s="58"/>
      <c r="I86" s="60">
        <f>VLOOKUP(B86,'fixed cost'!$B$4:$R$116,17,0)</f>
        <v>0.11823725</v>
      </c>
      <c r="J86" s="58"/>
      <c r="K86" s="58"/>
      <c r="L86" s="60">
        <f>L85</f>
        <v>3.4000000000000002E-2</v>
      </c>
      <c r="M86" s="58"/>
      <c r="N86" s="58">
        <v>0.55000000000000004</v>
      </c>
      <c r="O86" s="60">
        <f t="shared" si="16"/>
        <v>1.9619254692927393</v>
      </c>
      <c r="P86" s="60">
        <v>1.212</v>
      </c>
      <c r="Q86" s="188">
        <f t="shared" si="17"/>
        <v>0</v>
      </c>
      <c r="R86" s="189">
        <f t="shared" si="18"/>
        <v>0</v>
      </c>
    </row>
    <row r="87" spans="1:18" s="61" customFormat="1" ht="15.75" customHeight="1" x14ac:dyDescent="0.25">
      <c r="A87" s="146">
        <f>A86+1</f>
        <v>69</v>
      </c>
      <c r="B87" s="147" t="str">
        <f>B86</f>
        <v>SIPAT I</v>
      </c>
      <c r="C87" s="148">
        <f t="shared" si="19"/>
        <v>1.212</v>
      </c>
      <c r="D87" s="149">
        <f t="shared" si="19"/>
        <v>-7.9900000000000006E-3</v>
      </c>
      <c r="E87" s="148">
        <f t="shared" si="10"/>
        <v>1.20401</v>
      </c>
      <c r="F87" s="150">
        <f t="shared" si="20"/>
        <v>4.4200000000000003E-2</v>
      </c>
      <c r="G87" s="148">
        <f t="shared" si="15"/>
        <v>1.2596882192927392</v>
      </c>
      <c r="H87" s="146"/>
      <c r="I87" s="148">
        <f>VLOOKUP(B87,'fixed cost'!$B$4:$R$116,17,0)</f>
        <v>0.11823725</v>
      </c>
      <c r="J87" s="146"/>
      <c r="K87" s="146"/>
      <c r="L87" s="148">
        <f>L86</f>
        <v>3.4000000000000002E-2</v>
      </c>
      <c r="M87" s="146"/>
      <c r="N87" s="146">
        <v>0.75</v>
      </c>
      <c r="O87" s="148">
        <f t="shared" si="16"/>
        <v>2.161925469292739</v>
      </c>
      <c r="P87" s="148">
        <v>1.212</v>
      </c>
      <c r="Q87" s="188">
        <f t="shared" si="17"/>
        <v>0</v>
      </c>
      <c r="R87" s="189">
        <f t="shared" si="18"/>
        <v>0</v>
      </c>
    </row>
    <row r="88" spans="1:18" ht="15.75" customHeight="1" x14ac:dyDescent="0.25">
      <c r="A88" s="2">
        <f>A86+1</f>
        <v>69</v>
      </c>
      <c r="B88" s="4" t="s">
        <v>28</v>
      </c>
      <c r="C88" s="1">
        <v>1.2490000000000001</v>
      </c>
      <c r="D88" s="1">
        <v>-7.9900000000000006E-3</v>
      </c>
      <c r="E88" s="1">
        <f t="shared" si="10"/>
        <v>1.2410100000000002</v>
      </c>
      <c r="F88" s="7">
        <f t="shared" si="20"/>
        <v>4.4200000000000003E-2</v>
      </c>
      <c r="G88" s="1">
        <f t="shared" si="15"/>
        <v>1.2983992467043317</v>
      </c>
      <c r="H88" s="2"/>
      <c r="I88" s="1">
        <f>VLOOKUP(B88,'fixed cost'!$B$4:$R$116,17,0)</f>
        <v>0.11823725</v>
      </c>
      <c r="J88" s="2"/>
      <c r="K88" s="2"/>
      <c r="L88" s="2"/>
      <c r="M88" s="2"/>
      <c r="N88" s="2"/>
      <c r="O88" s="1">
        <f t="shared" si="16"/>
        <v>1.4166364967043317</v>
      </c>
      <c r="P88" s="213">
        <v>1.2490000000000001</v>
      </c>
      <c r="Q88" s="188">
        <f t="shared" si="17"/>
        <v>0</v>
      </c>
      <c r="R88" s="189">
        <f t="shared" si="18"/>
        <v>0</v>
      </c>
    </row>
    <row r="89" spans="1:18" s="27" customFormat="1" ht="15.75" customHeight="1" x14ac:dyDescent="0.25">
      <c r="A89" s="2">
        <f>A88+1</f>
        <v>70</v>
      </c>
      <c r="B89" s="46" t="s">
        <v>28</v>
      </c>
      <c r="C89" s="67">
        <f t="shared" ref="C89:D91" si="21">C88</f>
        <v>1.2490000000000001</v>
      </c>
      <c r="D89" s="68">
        <f t="shared" si="21"/>
        <v>-7.9900000000000006E-3</v>
      </c>
      <c r="E89" s="67">
        <f t="shared" si="10"/>
        <v>1.2410100000000002</v>
      </c>
      <c r="F89" s="184">
        <f t="shared" si="20"/>
        <v>4.4200000000000003E-2</v>
      </c>
      <c r="G89" s="67">
        <f t="shared" si="15"/>
        <v>1.2983992467043317</v>
      </c>
      <c r="H89" s="66"/>
      <c r="I89" s="67">
        <f>VLOOKUP(B89,'fixed cost'!$B$4:$R$116,17,0)</f>
        <v>0.11823725</v>
      </c>
      <c r="J89" s="66"/>
      <c r="K89" s="66"/>
      <c r="L89" s="66"/>
      <c r="M89" s="67">
        <f>VLOOKUP(B89,'fixed cost'!$B$4:$H$116,7,0)</f>
        <v>0.98415242264196123</v>
      </c>
      <c r="N89" s="67"/>
      <c r="O89" s="67">
        <f t="shared" si="16"/>
        <v>2.4007889193462928</v>
      </c>
      <c r="P89" s="67">
        <v>1.2490000000000001</v>
      </c>
      <c r="Q89" s="188">
        <f t="shared" si="17"/>
        <v>0</v>
      </c>
      <c r="R89" s="189">
        <f t="shared" si="18"/>
        <v>0</v>
      </c>
    </row>
    <row r="90" spans="1:18" s="182" customFormat="1" ht="15.75" customHeight="1" x14ac:dyDescent="0.25">
      <c r="A90" s="58">
        <f>A89+1</f>
        <v>71</v>
      </c>
      <c r="B90" s="59" t="str">
        <f>B89</f>
        <v>SIPAT II</v>
      </c>
      <c r="C90" s="60">
        <f t="shared" si="21"/>
        <v>1.2490000000000001</v>
      </c>
      <c r="D90" s="60">
        <f t="shared" si="21"/>
        <v>-7.9900000000000006E-3</v>
      </c>
      <c r="E90" s="60">
        <f t="shared" si="10"/>
        <v>1.2410100000000002</v>
      </c>
      <c r="F90" s="124">
        <f t="shared" si="20"/>
        <v>4.4200000000000003E-2</v>
      </c>
      <c r="G90" s="60">
        <f t="shared" si="15"/>
        <v>1.2983992467043317</v>
      </c>
      <c r="H90" s="58"/>
      <c r="I90" s="60">
        <f>VLOOKUP(B90,'fixed cost'!$B$4:$R$116,17,0)</f>
        <v>0.11823725</v>
      </c>
      <c r="J90" s="58"/>
      <c r="K90" s="58"/>
      <c r="L90" s="58"/>
      <c r="M90" s="125"/>
      <c r="N90" s="58">
        <v>0.55000000000000004</v>
      </c>
      <c r="O90" s="60">
        <f t="shared" si="16"/>
        <v>1.9666364967043317</v>
      </c>
      <c r="P90" s="60">
        <v>1.2490000000000001</v>
      </c>
      <c r="Q90" s="188">
        <f t="shared" si="17"/>
        <v>0</v>
      </c>
      <c r="R90" s="189">
        <f t="shared" si="18"/>
        <v>0</v>
      </c>
    </row>
    <row r="91" spans="1:18" s="182" customFormat="1" ht="15.75" customHeight="1" x14ac:dyDescent="0.25">
      <c r="A91" s="146">
        <f>A90+1</f>
        <v>72</v>
      </c>
      <c r="B91" s="147" t="str">
        <f>B90</f>
        <v>SIPAT II</v>
      </c>
      <c r="C91" s="148">
        <f t="shared" si="21"/>
        <v>1.2490000000000001</v>
      </c>
      <c r="D91" s="149">
        <f t="shared" si="21"/>
        <v>-7.9900000000000006E-3</v>
      </c>
      <c r="E91" s="148">
        <f t="shared" si="10"/>
        <v>1.2410100000000002</v>
      </c>
      <c r="F91" s="150">
        <f t="shared" si="20"/>
        <v>4.4200000000000003E-2</v>
      </c>
      <c r="G91" s="148">
        <f t="shared" si="15"/>
        <v>1.2983992467043317</v>
      </c>
      <c r="H91" s="146"/>
      <c r="I91" s="148">
        <f>VLOOKUP(B91,'fixed cost'!$B$4:$R$116,17,0)</f>
        <v>0.11823725</v>
      </c>
      <c r="J91" s="146"/>
      <c r="K91" s="146"/>
      <c r="L91" s="146"/>
      <c r="M91" s="146"/>
      <c r="N91" s="146">
        <v>0.75</v>
      </c>
      <c r="O91" s="148">
        <f t="shared" si="16"/>
        <v>2.1666364967043314</v>
      </c>
      <c r="P91" s="148">
        <v>1.2490000000000001</v>
      </c>
      <c r="Q91" s="188">
        <f t="shared" si="17"/>
        <v>0</v>
      </c>
      <c r="R91" s="189">
        <f t="shared" si="18"/>
        <v>0</v>
      </c>
    </row>
    <row r="92" spans="1:18" ht="15.75" customHeight="1" x14ac:dyDescent="0.25">
      <c r="A92" s="2">
        <f>A90+1</f>
        <v>72</v>
      </c>
      <c r="B92" s="4" t="s">
        <v>117</v>
      </c>
      <c r="C92" s="214">
        <v>3.94</v>
      </c>
      <c r="D92" s="1">
        <v>2.1999999999999999E-2</v>
      </c>
      <c r="E92" s="1">
        <f t="shared" si="10"/>
        <v>3.9619999999999997</v>
      </c>
      <c r="F92" s="7">
        <f t="shared" si="20"/>
        <v>4.4200000000000003E-2</v>
      </c>
      <c r="G92" s="1">
        <f t="shared" si="15"/>
        <v>4.1452186649926759</v>
      </c>
      <c r="H92" s="2"/>
      <c r="I92" s="1">
        <f>VLOOKUP(B92,'fixed cost'!$B$4:$R$116,17,0)</f>
        <v>0</v>
      </c>
      <c r="J92" s="2"/>
      <c r="K92" s="2"/>
      <c r="L92" s="1">
        <v>9.6000000000000002E-2</v>
      </c>
      <c r="M92" s="1"/>
      <c r="N92" s="1"/>
      <c r="O92" s="1">
        <f t="shared" si="16"/>
        <v>4.241218664992676</v>
      </c>
      <c r="P92" s="213">
        <v>3.9569999999999999</v>
      </c>
      <c r="Q92" s="188">
        <f t="shared" si="17"/>
        <v>-1.6999999999999904E-2</v>
      </c>
      <c r="R92" s="189">
        <f t="shared" si="18"/>
        <v>-4.2961839777609055E-3</v>
      </c>
    </row>
    <row r="93" spans="1:18" s="27" customFormat="1" ht="15.75" customHeight="1" x14ac:dyDescent="0.25">
      <c r="A93" s="2">
        <f t="shared" ref="A93:A100" si="22">A92+1</f>
        <v>73</v>
      </c>
      <c r="B93" s="46" t="s">
        <v>117</v>
      </c>
      <c r="C93" s="67">
        <f>C92</f>
        <v>3.94</v>
      </c>
      <c r="D93" s="68">
        <f>D92</f>
        <v>2.1999999999999999E-2</v>
      </c>
      <c r="E93" s="67">
        <f t="shared" si="10"/>
        <v>3.9619999999999997</v>
      </c>
      <c r="F93" s="184">
        <f t="shared" si="20"/>
        <v>4.4200000000000003E-2</v>
      </c>
      <c r="G93" s="67">
        <f t="shared" si="15"/>
        <v>4.1452186649926759</v>
      </c>
      <c r="H93" s="66"/>
      <c r="I93" s="67">
        <f>VLOOKUP(B93,'fixed cost'!$B$4:$R$116,17,0)</f>
        <v>0</v>
      </c>
      <c r="J93" s="66"/>
      <c r="K93" s="66"/>
      <c r="L93" s="67">
        <f>L92</f>
        <v>9.6000000000000002E-2</v>
      </c>
      <c r="M93" s="67">
        <f>VLOOKUP(B93,'fixed cost'!$B$4:$H$116,7,0)</f>
        <v>1.9962858589939085</v>
      </c>
      <c r="N93" s="67"/>
      <c r="O93" s="67">
        <f t="shared" si="16"/>
        <v>6.2375045239865843</v>
      </c>
      <c r="P93" s="67">
        <v>3.9569999999999999</v>
      </c>
      <c r="Q93" s="188">
        <f t="shared" si="17"/>
        <v>-1.6999999999999904E-2</v>
      </c>
      <c r="R93" s="189">
        <f t="shared" si="18"/>
        <v>-4.2961839777609055E-3</v>
      </c>
    </row>
    <row r="94" spans="1:18" s="99" customFormat="1" ht="15.75" customHeight="1" x14ac:dyDescent="0.25">
      <c r="A94" s="2">
        <f t="shared" si="22"/>
        <v>74</v>
      </c>
      <c r="B94" s="97" t="s">
        <v>40</v>
      </c>
      <c r="C94" s="98">
        <v>0.82</v>
      </c>
      <c r="D94" s="96"/>
      <c r="E94" s="98">
        <f t="shared" si="10"/>
        <v>0.82</v>
      </c>
      <c r="F94" s="172">
        <f t="shared" si="20"/>
        <v>4.4200000000000003E-2</v>
      </c>
      <c r="G94" s="98">
        <f t="shared" si="15"/>
        <v>0.85792006695961498</v>
      </c>
      <c r="H94" s="96"/>
      <c r="I94" s="98">
        <f>VLOOKUP(B94,'fixed cost'!$B$4:$R$116,17,0)</f>
        <v>0</v>
      </c>
      <c r="J94" s="96"/>
      <c r="K94" s="96"/>
      <c r="L94" s="96"/>
      <c r="M94" s="96"/>
      <c r="N94" s="96"/>
      <c r="O94" s="98">
        <f t="shared" si="16"/>
        <v>0.85792006695961498</v>
      </c>
      <c r="P94" s="98">
        <v>0.82</v>
      </c>
      <c r="Q94" s="188">
        <f t="shared" si="17"/>
        <v>0</v>
      </c>
      <c r="R94" s="189">
        <f t="shared" si="18"/>
        <v>0</v>
      </c>
    </row>
    <row r="95" spans="1:18" s="27" customFormat="1" ht="15.75" customHeight="1" x14ac:dyDescent="0.25">
      <c r="A95" s="2">
        <f t="shared" si="22"/>
        <v>75</v>
      </c>
      <c r="B95" s="4" t="s">
        <v>54</v>
      </c>
      <c r="C95" s="1">
        <v>3.1259999999999999</v>
      </c>
      <c r="D95" s="1">
        <v>1E-3</v>
      </c>
      <c r="E95" s="1">
        <f t="shared" si="10"/>
        <v>3.1269999999999998</v>
      </c>
      <c r="F95" s="7"/>
      <c r="G95" s="1">
        <f t="shared" si="15"/>
        <v>3.1269999999999998</v>
      </c>
      <c r="H95" s="2"/>
      <c r="I95" s="1">
        <f>VLOOKUP(B95,'fixed cost'!$B$4:$R$116,17,0)</f>
        <v>0</v>
      </c>
      <c r="J95" s="2"/>
      <c r="K95" s="2"/>
      <c r="L95" s="2"/>
      <c r="M95" s="2"/>
      <c r="N95" s="2"/>
      <c r="O95" s="1">
        <f t="shared" si="16"/>
        <v>3.1269999999999998</v>
      </c>
      <c r="P95" s="1">
        <v>3.169</v>
      </c>
      <c r="Q95" s="188">
        <f t="shared" si="17"/>
        <v>-4.3000000000000149E-2</v>
      </c>
      <c r="R95" s="189">
        <f t="shared" si="18"/>
        <v>-1.3568949195329805E-2</v>
      </c>
    </row>
    <row r="96" spans="1:18" s="27" customFormat="1" ht="17.25" customHeight="1" x14ac:dyDescent="0.25">
      <c r="A96" s="2">
        <f t="shared" si="22"/>
        <v>76</v>
      </c>
      <c r="B96" s="13" t="s">
        <v>167</v>
      </c>
      <c r="C96" s="1">
        <v>2.927</v>
      </c>
      <c r="D96" s="1">
        <v>-1E-3</v>
      </c>
      <c r="E96" s="1">
        <f t="shared" si="10"/>
        <v>2.9260000000000002</v>
      </c>
      <c r="F96" s="7"/>
      <c r="G96" s="1">
        <f t="shared" si="15"/>
        <v>2.9260000000000002</v>
      </c>
      <c r="H96" s="2"/>
      <c r="I96" s="1">
        <f>VLOOKUP(B96,'fixed cost'!$B$4:$R$116,17,0)</f>
        <v>0</v>
      </c>
      <c r="J96" s="2"/>
      <c r="K96" s="2"/>
      <c r="L96" s="2"/>
      <c r="M96" s="2"/>
      <c r="N96" s="2"/>
      <c r="O96" s="1">
        <f t="shared" si="16"/>
        <v>2.9260000000000002</v>
      </c>
      <c r="P96" s="1">
        <v>2.9159999999999999</v>
      </c>
      <c r="Q96" s="188">
        <f t="shared" si="17"/>
        <v>1.1000000000000121E-2</v>
      </c>
      <c r="R96" s="189">
        <f t="shared" si="18"/>
        <v>3.7722908093278879E-3</v>
      </c>
    </row>
    <row r="97" spans="1:18" s="65" customFormat="1" ht="15.75" customHeight="1" x14ac:dyDescent="0.25">
      <c r="A97" s="62">
        <f t="shared" si="22"/>
        <v>77</v>
      </c>
      <c r="B97" s="208" t="s">
        <v>50</v>
      </c>
      <c r="C97" s="64">
        <v>0</v>
      </c>
      <c r="D97" s="64">
        <v>0</v>
      </c>
      <c r="E97" s="64">
        <f t="shared" si="10"/>
        <v>0</v>
      </c>
      <c r="F97" s="178"/>
      <c r="G97" s="64">
        <f t="shared" si="15"/>
        <v>0</v>
      </c>
      <c r="H97" s="62"/>
      <c r="I97" s="64">
        <f>VLOOKUP(B97,'fixed cost'!$B$4:$R$116,17,0)</f>
        <v>0</v>
      </c>
      <c r="J97" s="62"/>
      <c r="K97" s="62"/>
      <c r="L97" s="62"/>
      <c r="M97" s="62"/>
      <c r="N97" s="62"/>
      <c r="O97" s="64">
        <f t="shared" si="16"/>
        <v>0</v>
      </c>
      <c r="P97" s="64">
        <v>0</v>
      </c>
      <c r="Q97" s="209">
        <f t="shared" si="17"/>
        <v>0</v>
      </c>
      <c r="R97" s="210" t="e">
        <f t="shared" si="18"/>
        <v>#DIV/0!</v>
      </c>
    </row>
    <row r="98" spans="1:18" s="27" customFormat="1" ht="15.75" customHeight="1" x14ac:dyDescent="0.25">
      <c r="A98" s="2">
        <f t="shared" si="22"/>
        <v>78</v>
      </c>
      <c r="B98" s="4" t="s">
        <v>60</v>
      </c>
      <c r="C98" s="1">
        <v>2.7789999999999999</v>
      </c>
      <c r="D98" s="9">
        <v>7.0000000000000001E-3</v>
      </c>
      <c r="E98" s="1">
        <f t="shared" si="10"/>
        <v>2.786</v>
      </c>
      <c r="F98" s="7"/>
      <c r="G98" s="1">
        <f t="shared" si="15"/>
        <v>2.786</v>
      </c>
      <c r="H98" s="2"/>
      <c r="I98" s="1">
        <f>VLOOKUP(B98,'fixed cost'!$B$4:$R$116,17,0)</f>
        <v>0</v>
      </c>
      <c r="J98" s="2"/>
      <c r="K98" s="2"/>
      <c r="L98" s="2"/>
      <c r="M98" s="2"/>
      <c r="N98" s="2"/>
      <c r="O98" s="1">
        <f t="shared" si="16"/>
        <v>2.786</v>
      </c>
      <c r="P98" s="1">
        <v>2.9169999999999998</v>
      </c>
      <c r="Q98" s="188">
        <f t="shared" si="17"/>
        <v>-0.1379999999999999</v>
      </c>
      <c r="R98" s="189">
        <f t="shared" si="18"/>
        <v>-4.7308878985258797E-2</v>
      </c>
    </row>
    <row r="99" spans="1:18" s="61" customFormat="1" ht="15.75" customHeight="1" x14ac:dyDescent="0.25">
      <c r="A99" s="58">
        <f t="shared" si="22"/>
        <v>79</v>
      </c>
      <c r="B99" s="59" t="s">
        <v>60</v>
      </c>
      <c r="C99" s="60">
        <f>C98</f>
        <v>2.7789999999999999</v>
      </c>
      <c r="D99" s="106">
        <f>D98</f>
        <v>7.0000000000000001E-3</v>
      </c>
      <c r="E99" s="60">
        <f t="shared" si="10"/>
        <v>2.786</v>
      </c>
      <c r="F99" s="124"/>
      <c r="G99" s="60">
        <f t="shared" si="15"/>
        <v>2.786</v>
      </c>
      <c r="H99" s="58"/>
      <c r="I99" s="60">
        <f>VLOOKUP(B99,'fixed cost'!$B$4:$R$116,17,0)</f>
        <v>0</v>
      </c>
      <c r="J99" s="58"/>
      <c r="K99" s="58"/>
      <c r="L99" s="58"/>
      <c r="M99" s="58"/>
      <c r="N99" s="58">
        <v>0.55000000000000004</v>
      </c>
      <c r="O99" s="60">
        <f t="shared" si="16"/>
        <v>3.3360000000000003</v>
      </c>
      <c r="P99" s="60">
        <v>2.9169999999999998</v>
      </c>
      <c r="Q99" s="188">
        <f t="shared" si="17"/>
        <v>-0.1379999999999999</v>
      </c>
      <c r="R99" s="189">
        <f t="shared" si="18"/>
        <v>-4.7308878985258797E-2</v>
      </c>
    </row>
    <row r="100" spans="1:18" s="152" customFormat="1" ht="15.75" customHeight="1" x14ac:dyDescent="0.25">
      <c r="A100" s="146">
        <f t="shared" si="22"/>
        <v>80</v>
      </c>
      <c r="B100" s="147" t="s">
        <v>60</v>
      </c>
      <c r="C100" s="148">
        <f>C99</f>
        <v>2.7789999999999999</v>
      </c>
      <c r="D100" s="151">
        <f>D99</f>
        <v>7.0000000000000001E-3</v>
      </c>
      <c r="E100" s="148">
        <f t="shared" si="10"/>
        <v>2.786</v>
      </c>
      <c r="F100" s="150"/>
      <c r="G100" s="148">
        <f t="shared" si="15"/>
        <v>2.786</v>
      </c>
      <c r="H100" s="146"/>
      <c r="I100" s="148">
        <f>VLOOKUP(B100,'fixed cost'!$B$4:$R$116,17,0)</f>
        <v>0</v>
      </c>
      <c r="J100" s="146"/>
      <c r="K100" s="146"/>
      <c r="L100" s="146"/>
      <c r="M100" s="146"/>
      <c r="N100" s="146">
        <v>0.75</v>
      </c>
      <c r="O100" s="148">
        <f t="shared" si="16"/>
        <v>3.536</v>
      </c>
      <c r="P100" s="148">
        <v>2.9169999999999998</v>
      </c>
      <c r="Q100" s="188">
        <f t="shared" si="17"/>
        <v>-0.1379999999999999</v>
      </c>
      <c r="R100" s="189">
        <f t="shared" si="18"/>
        <v>-4.7308878985258797E-2</v>
      </c>
    </row>
    <row r="101" spans="1:18" s="95" customFormat="1" ht="15.75" customHeight="1" x14ac:dyDescent="0.25">
      <c r="A101" s="92">
        <f>A99+1</f>
        <v>80</v>
      </c>
      <c r="B101" s="93" t="s">
        <v>15</v>
      </c>
      <c r="C101" s="94">
        <v>7.2430000000000003</v>
      </c>
      <c r="D101" s="94"/>
      <c r="E101" s="94">
        <f t="shared" si="10"/>
        <v>7.2430000000000003</v>
      </c>
      <c r="F101" s="173">
        <f>F94</f>
        <v>4.4200000000000003E-2</v>
      </c>
      <c r="G101" s="94">
        <f t="shared" si="15"/>
        <v>7.5779451768152342</v>
      </c>
      <c r="H101" s="100"/>
      <c r="I101" s="94">
        <f>VLOOKUP(B101,'fixed cost'!$B$4:$R$116,17,0)</f>
        <v>0</v>
      </c>
      <c r="J101" s="92">
        <v>0.1</v>
      </c>
      <c r="K101" s="92"/>
      <c r="L101" s="92"/>
      <c r="M101" s="94"/>
      <c r="N101" s="94"/>
      <c r="O101" s="94">
        <f t="shared" si="16"/>
        <v>7.6779451768152338</v>
      </c>
      <c r="P101" s="94">
        <v>8.8339999999999996</v>
      </c>
      <c r="Q101" s="188">
        <f t="shared" si="17"/>
        <v>-1.5909999999999993</v>
      </c>
      <c r="R101" s="189">
        <f t="shared" si="18"/>
        <v>-0.18009961512338685</v>
      </c>
    </row>
    <row r="102" spans="1:18" s="27" customFormat="1" ht="15.75" customHeight="1" x14ac:dyDescent="0.25">
      <c r="A102" s="2">
        <f>A101+1</f>
        <v>81</v>
      </c>
      <c r="B102" s="4" t="s">
        <v>31</v>
      </c>
      <c r="C102" s="1">
        <v>2.113</v>
      </c>
      <c r="D102" s="1">
        <v>1.09E-2</v>
      </c>
      <c r="E102" s="1">
        <f t="shared" si="10"/>
        <v>2.1238999999999999</v>
      </c>
      <c r="F102" s="7">
        <f>F101</f>
        <v>4.4200000000000003E-2</v>
      </c>
      <c r="G102" s="1">
        <f t="shared" si="15"/>
        <v>2.2221175978238126</v>
      </c>
      <c r="H102" s="5">
        <v>0.15</v>
      </c>
      <c r="I102" s="1">
        <f>VLOOKUP(B102,'fixed cost'!$B$4:$R$116,17,0)</f>
        <v>9.1908000000000017E-2</v>
      </c>
      <c r="J102" s="2"/>
      <c r="K102" s="2"/>
      <c r="L102" s="2"/>
      <c r="M102" s="2"/>
      <c r="N102" s="2"/>
      <c r="O102" s="1">
        <f t="shared" si="16"/>
        <v>2.4640255978238126</v>
      </c>
      <c r="P102" s="213">
        <v>2.2170000000000001</v>
      </c>
      <c r="Q102" s="188">
        <f t="shared" si="17"/>
        <v>-0.10400000000000009</v>
      </c>
      <c r="R102" s="189">
        <f t="shared" si="18"/>
        <v>-4.6910239061795256E-2</v>
      </c>
    </row>
    <row r="103" spans="1:18" s="27" customFormat="1" ht="15.75" customHeight="1" x14ac:dyDescent="0.25">
      <c r="A103" s="2">
        <f>A102+1</f>
        <v>82</v>
      </c>
      <c r="B103" s="46" t="s">
        <v>31</v>
      </c>
      <c r="C103" s="67">
        <f t="shared" ref="C103:D105" si="23">C102</f>
        <v>2.113</v>
      </c>
      <c r="D103" s="68">
        <f t="shared" si="23"/>
        <v>1.09E-2</v>
      </c>
      <c r="E103" s="67">
        <f t="shared" si="10"/>
        <v>2.1238999999999999</v>
      </c>
      <c r="F103" s="184">
        <f>F102</f>
        <v>4.4200000000000003E-2</v>
      </c>
      <c r="G103" s="67">
        <f t="shared" si="15"/>
        <v>2.2221175978238126</v>
      </c>
      <c r="H103" s="66">
        <v>0.15</v>
      </c>
      <c r="I103" s="67">
        <f>VLOOKUP(B103,'fixed cost'!$B$4:$R$116,17,0)</f>
        <v>9.1908000000000017E-2</v>
      </c>
      <c r="J103" s="66"/>
      <c r="K103" s="66"/>
      <c r="L103" s="66"/>
      <c r="M103" s="67">
        <f>VLOOKUP(B103,'fixed cost'!$B$4:$H$116,7,0)</f>
        <v>0.91733520477620856</v>
      </c>
      <c r="N103" s="67"/>
      <c r="O103" s="67">
        <f t="shared" si="16"/>
        <v>3.381360802600021</v>
      </c>
      <c r="P103" s="67">
        <v>2.2170000000000001</v>
      </c>
      <c r="Q103" s="188">
        <f t="shared" si="17"/>
        <v>-0.10400000000000009</v>
      </c>
      <c r="R103" s="189">
        <f t="shared" si="18"/>
        <v>-4.6910239061795256E-2</v>
      </c>
    </row>
    <row r="104" spans="1:18" s="182" customFormat="1" ht="15.75" customHeight="1" x14ac:dyDescent="0.25">
      <c r="A104" s="58">
        <f>A103+1</f>
        <v>83</v>
      </c>
      <c r="B104" s="59" t="s">
        <v>31</v>
      </c>
      <c r="C104" s="60">
        <f t="shared" si="23"/>
        <v>2.113</v>
      </c>
      <c r="D104" s="60">
        <f t="shared" si="23"/>
        <v>1.09E-2</v>
      </c>
      <c r="E104" s="60">
        <f t="shared" si="10"/>
        <v>2.1238999999999999</v>
      </c>
      <c r="F104" s="124">
        <f>F103</f>
        <v>4.4200000000000003E-2</v>
      </c>
      <c r="G104" s="60">
        <f t="shared" si="15"/>
        <v>2.2221175978238126</v>
      </c>
      <c r="H104" s="58">
        <v>0.15</v>
      </c>
      <c r="I104" s="60">
        <f>VLOOKUP(B104,'fixed cost'!$B$4:$R$116,17,0)</f>
        <v>9.1908000000000017E-2</v>
      </c>
      <c r="J104" s="58"/>
      <c r="K104" s="58"/>
      <c r="L104" s="58"/>
      <c r="M104" s="125"/>
      <c r="N104" s="58">
        <v>0.55000000000000004</v>
      </c>
      <c r="O104" s="60">
        <f t="shared" si="16"/>
        <v>3.0140255978238129</v>
      </c>
      <c r="P104" s="60">
        <v>2.2170000000000001</v>
      </c>
      <c r="Q104" s="188">
        <f t="shared" si="17"/>
        <v>-0.10400000000000009</v>
      </c>
      <c r="R104" s="189">
        <f t="shared" si="18"/>
        <v>-4.6910239061795256E-2</v>
      </c>
    </row>
    <row r="105" spans="1:18" s="182" customFormat="1" ht="15.75" customHeight="1" x14ac:dyDescent="0.25">
      <c r="A105" s="146">
        <v>84</v>
      </c>
      <c r="B105" s="147" t="s">
        <v>31</v>
      </c>
      <c r="C105" s="148">
        <f t="shared" si="23"/>
        <v>2.113</v>
      </c>
      <c r="D105" s="149">
        <f t="shared" si="23"/>
        <v>1.09E-2</v>
      </c>
      <c r="E105" s="148">
        <f>E104</f>
        <v>2.1238999999999999</v>
      </c>
      <c r="F105" s="150">
        <f>F104</f>
        <v>4.4200000000000003E-2</v>
      </c>
      <c r="G105" s="148">
        <f>G104</f>
        <v>2.2221175978238126</v>
      </c>
      <c r="H105" s="146">
        <f>H104</f>
        <v>0.15</v>
      </c>
      <c r="I105" s="148">
        <f>I104</f>
        <v>9.1908000000000017E-2</v>
      </c>
      <c r="J105" s="146"/>
      <c r="K105" s="146"/>
      <c r="L105" s="146"/>
      <c r="M105" s="146"/>
      <c r="N105" s="146">
        <v>0.75</v>
      </c>
      <c r="O105" s="148">
        <f t="shared" si="16"/>
        <v>3.2140255978238126</v>
      </c>
      <c r="P105" s="148">
        <v>2.2170000000000001</v>
      </c>
      <c r="Q105" s="188">
        <f t="shared" si="17"/>
        <v>-0.10400000000000009</v>
      </c>
      <c r="R105" s="189">
        <f t="shared" si="18"/>
        <v>-4.6910239061795256E-2</v>
      </c>
    </row>
    <row r="106" spans="1:18" s="27" customFormat="1" ht="15.75" customHeight="1" x14ac:dyDescent="0.25">
      <c r="A106" s="2">
        <v>85</v>
      </c>
      <c r="B106" s="4" t="s">
        <v>34</v>
      </c>
      <c r="C106" s="215">
        <v>2.024</v>
      </c>
      <c r="D106" s="1">
        <v>-8.9999999999999998E-4</v>
      </c>
      <c r="E106" s="1">
        <f t="shared" ref="E106:E164" si="24">C106+D106</f>
        <v>2.0230999999999999</v>
      </c>
      <c r="F106" s="7">
        <f>F104</f>
        <v>4.4200000000000003E-2</v>
      </c>
      <c r="G106" s="1">
        <f t="shared" ref="G106:G164" si="25">E106/((100%-F106))</f>
        <v>2.1166562042268255</v>
      </c>
      <c r="H106" s="5">
        <v>0.15</v>
      </c>
      <c r="I106" s="1">
        <f>VLOOKUP(B106,'fixed cost'!$B$4:$R$116,17,0)</f>
        <v>6.6888599999999993E-2</v>
      </c>
      <c r="J106" s="2"/>
      <c r="K106" s="2"/>
      <c r="L106" s="2">
        <v>3.6999999999999998E-2</v>
      </c>
      <c r="M106" s="2"/>
      <c r="N106" s="2"/>
      <c r="O106" s="1">
        <f t="shared" si="16"/>
        <v>2.3705448042268253</v>
      </c>
      <c r="P106">
        <v>2.1230000000000002</v>
      </c>
      <c r="Q106" s="188">
        <f t="shared" si="17"/>
        <v>-9.9000000000000199E-2</v>
      </c>
      <c r="R106" s="189">
        <f t="shared" si="18"/>
        <v>-4.6632124352331696E-2</v>
      </c>
    </row>
    <row r="107" spans="1:18" s="27" customFormat="1" ht="15.75" customHeight="1" x14ac:dyDescent="0.25">
      <c r="A107" s="2">
        <f>A106+1</f>
        <v>86</v>
      </c>
      <c r="B107" s="46" t="s">
        <v>34</v>
      </c>
      <c r="C107" s="67">
        <f t="shared" ref="C107:D109" si="26">C106</f>
        <v>2.024</v>
      </c>
      <c r="D107" s="68">
        <f t="shared" si="26"/>
        <v>-8.9999999999999998E-4</v>
      </c>
      <c r="E107" s="67">
        <f t="shared" si="24"/>
        <v>2.0230999999999999</v>
      </c>
      <c r="F107" s="184">
        <f t="shared" ref="F107:F123" si="27">F106</f>
        <v>4.4200000000000003E-2</v>
      </c>
      <c r="G107" s="67">
        <f t="shared" si="25"/>
        <v>2.1166562042268255</v>
      </c>
      <c r="H107" s="66">
        <v>0.15</v>
      </c>
      <c r="I107" s="67">
        <f>VLOOKUP(B107,'fixed cost'!$B$4:$R$116,17,0)</f>
        <v>6.6888599999999993E-2</v>
      </c>
      <c r="J107" s="66"/>
      <c r="K107" s="66"/>
      <c r="L107" s="66">
        <f>L106</f>
        <v>3.6999999999999998E-2</v>
      </c>
      <c r="M107" s="67">
        <f>VLOOKUP(B107,'fixed cost'!$B$4:$H$116,7,0)</f>
        <v>0.78386921953636013</v>
      </c>
      <c r="N107" s="67"/>
      <c r="O107" s="67">
        <f t="shared" si="16"/>
        <v>3.1544140237631852</v>
      </c>
      <c r="P107" s="67">
        <v>2.1230000000000002</v>
      </c>
      <c r="Q107" s="188">
        <f t="shared" si="17"/>
        <v>-9.9000000000000199E-2</v>
      </c>
      <c r="R107" s="189">
        <f t="shared" si="18"/>
        <v>-4.6632124352331696E-2</v>
      </c>
    </row>
    <row r="108" spans="1:18" s="61" customFormat="1" ht="15.75" customHeight="1" x14ac:dyDescent="0.25">
      <c r="A108" s="58">
        <f>A107+1</f>
        <v>87</v>
      </c>
      <c r="B108" s="59" t="s">
        <v>34</v>
      </c>
      <c r="C108" s="60">
        <f t="shared" si="26"/>
        <v>2.024</v>
      </c>
      <c r="D108" s="60">
        <f t="shared" si="26"/>
        <v>-8.9999999999999998E-4</v>
      </c>
      <c r="E108" s="60">
        <f t="shared" si="24"/>
        <v>2.0230999999999999</v>
      </c>
      <c r="F108" s="124">
        <f t="shared" si="27"/>
        <v>4.4200000000000003E-2</v>
      </c>
      <c r="G108" s="60">
        <f t="shared" si="25"/>
        <v>2.1166562042268255</v>
      </c>
      <c r="H108" s="58">
        <v>0.15</v>
      </c>
      <c r="I108" s="60">
        <f>VLOOKUP(B108,'fixed cost'!$B$4:$R$116,17,0)</f>
        <v>6.6888599999999993E-2</v>
      </c>
      <c r="J108" s="58"/>
      <c r="K108" s="58"/>
      <c r="L108" s="58">
        <f>L107</f>
        <v>3.6999999999999998E-2</v>
      </c>
      <c r="M108" s="125"/>
      <c r="N108" s="58">
        <v>0.55000000000000004</v>
      </c>
      <c r="O108" s="60">
        <f t="shared" si="16"/>
        <v>2.9205448042268252</v>
      </c>
      <c r="P108" s="60">
        <v>2.1230000000000002</v>
      </c>
      <c r="Q108" s="188">
        <f t="shared" si="17"/>
        <v>-9.9000000000000199E-2</v>
      </c>
      <c r="R108" s="189">
        <f t="shared" si="18"/>
        <v>-4.6632124352331696E-2</v>
      </c>
    </row>
    <row r="109" spans="1:18" s="61" customFormat="1" ht="15.75" customHeight="1" x14ac:dyDescent="0.25">
      <c r="A109" s="146">
        <f>A108+1</f>
        <v>88</v>
      </c>
      <c r="B109" s="147" t="s">
        <v>34</v>
      </c>
      <c r="C109" s="148">
        <f t="shared" si="26"/>
        <v>2.024</v>
      </c>
      <c r="D109" s="149">
        <f t="shared" si="26"/>
        <v>-8.9999999999999998E-4</v>
      </c>
      <c r="E109" s="148">
        <f t="shared" si="24"/>
        <v>2.0230999999999999</v>
      </c>
      <c r="F109" s="150">
        <f t="shared" si="27"/>
        <v>4.4200000000000003E-2</v>
      </c>
      <c r="G109" s="148">
        <f t="shared" si="25"/>
        <v>2.1166562042268255</v>
      </c>
      <c r="H109" s="146">
        <v>0.15</v>
      </c>
      <c r="I109" s="148">
        <f>VLOOKUP(B109,'fixed cost'!$B$4:$R$116,17,0)</f>
        <v>6.6888599999999993E-2</v>
      </c>
      <c r="J109" s="146"/>
      <c r="K109" s="146"/>
      <c r="L109" s="146">
        <f>L108</f>
        <v>3.6999999999999998E-2</v>
      </c>
      <c r="M109" s="146"/>
      <c r="N109" s="146">
        <v>0.75</v>
      </c>
      <c r="O109" s="148">
        <f t="shared" si="16"/>
        <v>3.1205448042268253</v>
      </c>
      <c r="P109" s="148">
        <v>2.1230000000000002</v>
      </c>
      <c r="Q109" s="188">
        <f t="shared" si="17"/>
        <v>-9.9000000000000199E-2</v>
      </c>
      <c r="R109" s="189">
        <f t="shared" si="18"/>
        <v>-4.6632124352331696E-2</v>
      </c>
    </row>
    <row r="110" spans="1:18" s="27" customFormat="1" ht="15.75" customHeight="1" x14ac:dyDescent="0.25">
      <c r="A110" s="2">
        <f>A108+1</f>
        <v>88</v>
      </c>
      <c r="B110" s="4" t="s">
        <v>30</v>
      </c>
      <c r="C110" s="215">
        <v>2.0070000000000001</v>
      </c>
      <c r="D110" s="1">
        <v>-1E-3</v>
      </c>
      <c r="E110" s="1">
        <f t="shared" si="24"/>
        <v>2.0060000000000002</v>
      </c>
      <c r="F110" s="7">
        <f t="shared" si="27"/>
        <v>4.4200000000000003E-2</v>
      </c>
      <c r="G110" s="1">
        <f t="shared" si="25"/>
        <v>2.0987654320987659</v>
      </c>
      <c r="H110" s="5">
        <v>0.15</v>
      </c>
      <c r="I110" s="1">
        <f>VLOOKUP(B110,'fixed cost'!$B$4:$R$116,17,0)</f>
        <v>5.8719E-2</v>
      </c>
      <c r="J110" s="2"/>
      <c r="K110" s="2"/>
      <c r="L110" s="1">
        <v>3.5000000000000003E-2</v>
      </c>
      <c r="M110" s="2"/>
      <c r="N110" s="2"/>
      <c r="O110" s="1">
        <f t="shared" si="16"/>
        <v>2.3424844320987659</v>
      </c>
      <c r="P110">
        <v>2.105</v>
      </c>
      <c r="Q110" s="188">
        <f t="shared" si="17"/>
        <v>-9.7999999999999865E-2</v>
      </c>
      <c r="R110" s="189">
        <f t="shared" si="18"/>
        <v>-4.6555819477434618E-2</v>
      </c>
    </row>
    <row r="111" spans="1:18" s="27" customFormat="1" ht="15.75" customHeight="1" x14ac:dyDescent="0.25">
      <c r="A111" s="2">
        <f>A110+1</f>
        <v>89</v>
      </c>
      <c r="B111" s="46" t="s">
        <v>30</v>
      </c>
      <c r="C111" s="67">
        <f t="shared" ref="C111:D113" si="28">C110</f>
        <v>2.0070000000000001</v>
      </c>
      <c r="D111" s="68">
        <f t="shared" si="28"/>
        <v>-1E-3</v>
      </c>
      <c r="E111" s="67">
        <f t="shared" si="24"/>
        <v>2.0060000000000002</v>
      </c>
      <c r="F111" s="184">
        <f t="shared" si="27"/>
        <v>4.4200000000000003E-2</v>
      </c>
      <c r="G111" s="67">
        <f t="shared" si="25"/>
        <v>2.0987654320987659</v>
      </c>
      <c r="H111" s="66">
        <v>0.15</v>
      </c>
      <c r="I111" s="67">
        <f>VLOOKUP(B111,'fixed cost'!$B$4:$R$116,17,0)</f>
        <v>5.8719E-2</v>
      </c>
      <c r="J111" s="66"/>
      <c r="K111" s="66"/>
      <c r="L111" s="67">
        <f>L110</f>
        <v>3.5000000000000003E-2</v>
      </c>
      <c r="M111" s="67">
        <f>VLOOKUP(B111,'fixed cost'!$B$4:$H$116,7,0)</f>
        <v>0.91111985072361856</v>
      </c>
      <c r="N111" s="67"/>
      <c r="O111" s="67">
        <f t="shared" si="16"/>
        <v>3.2536042828223843</v>
      </c>
      <c r="P111" s="67">
        <v>2.105</v>
      </c>
      <c r="Q111" s="188">
        <f t="shared" si="17"/>
        <v>-9.7999999999999865E-2</v>
      </c>
      <c r="R111" s="189">
        <f t="shared" si="18"/>
        <v>-4.6555819477434618E-2</v>
      </c>
    </row>
    <row r="112" spans="1:18" s="182" customFormat="1" ht="15.75" customHeight="1" x14ac:dyDescent="0.25">
      <c r="A112" s="58">
        <f>A111+1</f>
        <v>90</v>
      </c>
      <c r="B112" s="59" t="s">
        <v>30</v>
      </c>
      <c r="C112" s="60">
        <f t="shared" si="28"/>
        <v>2.0070000000000001</v>
      </c>
      <c r="D112" s="60">
        <f t="shared" si="28"/>
        <v>-1E-3</v>
      </c>
      <c r="E112" s="60">
        <f t="shared" si="24"/>
        <v>2.0060000000000002</v>
      </c>
      <c r="F112" s="124">
        <f t="shared" si="27"/>
        <v>4.4200000000000003E-2</v>
      </c>
      <c r="G112" s="60">
        <f t="shared" si="25"/>
        <v>2.0987654320987659</v>
      </c>
      <c r="H112" s="58">
        <v>0.15</v>
      </c>
      <c r="I112" s="60">
        <f>VLOOKUP(B112,'fixed cost'!$B$4:$R$116,17,0)</f>
        <v>5.8719E-2</v>
      </c>
      <c r="J112" s="58"/>
      <c r="K112" s="58"/>
      <c r="L112" s="60">
        <f>L111</f>
        <v>3.5000000000000003E-2</v>
      </c>
      <c r="M112" s="125"/>
      <c r="N112" s="58">
        <v>0.55000000000000004</v>
      </c>
      <c r="O112" s="60">
        <f t="shared" si="16"/>
        <v>2.8924844320987662</v>
      </c>
      <c r="P112" s="60">
        <v>2.105</v>
      </c>
      <c r="Q112" s="188">
        <f t="shared" si="17"/>
        <v>-9.7999999999999865E-2</v>
      </c>
      <c r="R112" s="189">
        <f t="shared" si="18"/>
        <v>-4.6555819477434618E-2</v>
      </c>
    </row>
    <row r="113" spans="1:18" s="182" customFormat="1" ht="15.75" customHeight="1" x14ac:dyDescent="0.25">
      <c r="A113" s="146">
        <f>A112+1</f>
        <v>91</v>
      </c>
      <c r="B113" s="147" t="s">
        <v>30</v>
      </c>
      <c r="C113" s="148">
        <f t="shared" si="28"/>
        <v>2.0070000000000001</v>
      </c>
      <c r="D113" s="149">
        <f t="shared" si="28"/>
        <v>-1E-3</v>
      </c>
      <c r="E113" s="148">
        <f t="shared" si="24"/>
        <v>2.0060000000000002</v>
      </c>
      <c r="F113" s="150">
        <f t="shared" si="27"/>
        <v>4.4200000000000003E-2</v>
      </c>
      <c r="G113" s="148">
        <f t="shared" si="25"/>
        <v>2.0987654320987659</v>
      </c>
      <c r="H113" s="146">
        <v>0.15</v>
      </c>
      <c r="I113" s="148">
        <f>VLOOKUP(B113,'fixed cost'!$B$4:$R$116,17,0)</f>
        <v>5.8719E-2</v>
      </c>
      <c r="J113" s="146"/>
      <c r="K113" s="146"/>
      <c r="L113" s="148">
        <f>L112</f>
        <v>3.5000000000000003E-2</v>
      </c>
      <c r="M113" s="146"/>
      <c r="N113" s="146">
        <v>0.75</v>
      </c>
      <c r="O113" s="148">
        <f t="shared" si="16"/>
        <v>3.0924844320987659</v>
      </c>
      <c r="P113" s="148">
        <v>2.105</v>
      </c>
      <c r="Q113" s="188">
        <f t="shared" si="17"/>
        <v>-9.7999999999999865E-2</v>
      </c>
      <c r="R113" s="189">
        <f t="shared" si="18"/>
        <v>-4.6555819477434618E-2</v>
      </c>
    </row>
    <row r="114" spans="1:18" s="61" customFormat="1" ht="15.75" customHeight="1" x14ac:dyDescent="0.25">
      <c r="A114" s="2">
        <f>A112+1</f>
        <v>91</v>
      </c>
      <c r="B114" s="4" t="s">
        <v>33</v>
      </c>
      <c r="C114" s="1">
        <v>1.984</v>
      </c>
      <c r="D114" s="1">
        <v>-1E-3</v>
      </c>
      <c r="E114" s="1">
        <f t="shared" si="24"/>
        <v>1.9830000000000001</v>
      </c>
      <c r="F114" s="7">
        <f t="shared" si="27"/>
        <v>4.4200000000000003E-2</v>
      </c>
      <c r="G114" s="1">
        <f t="shared" si="25"/>
        <v>2.0747018204645324</v>
      </c>
      <c r="H114" s="5">
        <v>0.15</v>
      </c>
      <c r="I114" s="1">
        <f>VLOOKUP(B114,'fixed cost'!$B$4:$R$116,17,0)</f>
        <v>5.8719E-2</v>
      </c>
      <c r="J114" s="2"/>
      <c r="K114" s="2"/>
      <c r="L114" s="1">
        <v>3.5999999999999997E-2</v>
      </c>
      <c r="M114" s="2"/>
      <c r="N114" s="2"/>
      <c r="O114" s="1">
        <f t="shared" si="16"/>
        <v>2.3194208204645324</v>
      </c>
      <c r="P114" s="213">
        <v>2.081</v>
      </c>
      <c r="Q114" s="188">
        <f t="shared" si="17"/>
        <v>-9.6999999999999975E-2</v>
      </c>
      <c r="R114" s="189">
        <f t="shared" si="18"/>
        <v>-4.6612205670350779E-2</v>
      </c>
    </row>
    <row r="115" spans="1:18" s="27" customFormat="1" ht="15.75" customHeight="1" x14ac:dyDescent="0.25">
      <c r="A115" s="2">
        <f>A114+1</f>
        <v>92</v>
      </c>
      <c r="B115" s="46" t="s">
        <v>33</v>
      </c>
      <c r="C115" s="67">
        <f t="shared" ref="C115:D117" si="29">C114</f>
        <v>1.984</v>
      </c>
      <c r="D115" s="68">
        <f t="shared" si="29"/>
        <v>-1E-3</v>
      </c>
      <c r="E115" s="67">
        <f t="shared" si="24"/>
        <v>1.9830000000000001</v>
      </c>
      <c r="F115" s="184">
        <f t="shared" si="27"/>
        <v>4.4200000000000003E-2</v>
      </c>
      <c r="G115" s="67">
        <f t="shared" si="25"/>
        <v>2.0747018204645324</v>
      </c>
      <c r="H115" s="66">
        <v>0.15</v>
      </c>
      <c r="I115" s="67">
        <f>VLOOKUP(B115,'fixed cost'!$B$4:$R$116,17,0)</f>
        <v>5.8719E-2</v>
      </c>
      <c r="J115" s="66"/>
      <c r="K115" s="66"/>
      <c r="L115" s="67">
        <f>L114</f>
        <v>3.5999999999999997E-2</v>
      </c>
      <c r="M115" s="67">
        <f>VLOOKUP(B115,'fixed cost'!$B$4:$H$116,7,0)</f>
        <v>1.6494464476681268</v>
      </c>
      <c r="N115" s="67"/>
      <c r="O115" s="67">
        <f t="shared" si="16"/>
        <v>3.9688672681326591</v>
      </c>
      <c r="P115" s="67">
        <v>2.081</v>
      </c>
      <c r="Q115" s="188">
        <f t="shared" si="17"/>
        <v>-9.6999999999999975E-2</v>
      </c>
      <c r="R115" s="189">
        <f t="shared" si="18"/>
        <v>-4.6612205670350779E-2</v>
      </c>
    </row>
    <row r="116" spans="1:18" s="182" customFormat="1" ht="15.75" customHeight="1" x14ac:dyDescent="0.25">
      <c r="A116" s="58">
        <f>A115+1</f>
        <v>93</v>
      </c>
      <c r="B116" s="59" t="s">
        <v>33</v>
      </c>
      <c r="C116" s="60">
        <f t="shared" si="29"/>
        <v>1.984</v>
      </c>
      <c r="D116" s="60">
        <f t="shared" si="29"/>
        <v>-1E-3</v>
      </c>
      <c r="E116" s="60">
        <f t="shared" si="24"/>
        <v>1.9830000000000001</v>
      </c>
      <c r="F116" s="124">
        <f t="shared" si="27"/>
        <v>4.4200000000000003E-2</v>
      </c>
      <c r="G116" s="60">
        <f t="shared" si="25"/>
        <v>2.0747018204645324</v>
      </c>
      <c r="H116" s="58">
        <v>0.15</v>
      </c>
      <c r="I116" s="60">
        <f>VLOOKUP(B116,'fixed cost'!$B$4:$R$116,17,0)</f>
        <v>5.8719E-2</v>
      </c>
      <c r="J116" s="58"/>
      <c r="K116" s="58"/>
      <c r="L116" s="60">
        <f>L115</f>
        <v>3.5999999999999997E-2</v>
      </c>
      <c r="M116" s="125"/>
      <c r="N116" s="58">
        <v>0.55000000000000004</v>
      </c>
      <c r="O116" s="60">
        <f t="shared" si="16"/>
        <v>2.8694208204645326</v>
      </c>
      <c r="P116" s="60">
        <v>2.081</v>
      </c>
      <c r="Q116" s="188">
        <f t="shared" si="17"/>
        <v>-9.6999999999999975E-2</v>
      </c>
      <c r="R116" s="189">
        <f t="shared" si="18"/>
        <v>-4.6612205670350779E-2</v>
      </c>
    </row>
    <row r="117" spans="1:18" s="182" customFormat="1" ht="15.75" customHeight="1" x14ac:dyDescent="0.25">
      <c r="A117" s="146">
        <f>A116+1</f>
        <v>94</v>
      </c>
      <c r="B117" s="147" t="s">
        <v>33</v>
      </c>
      <c r="C117" s="148">
        <f t="shared" si="29"/>
        <v>1.984</v>
      </c>
      <c r="D117" s="149">
        <f t="shared" si="29"/>
        <v>-1E-3</v>
      </c>
      <c r="E117" s="148">
        <f t="shared" si="24"/>
        <v>1.9830000000000001</v>
      </c>
      <c r="F117" s="150">
        <f t="shared" si="27"/>
        <v>4.4200000000000003E-2</v>
      </c>
      <c r="G117" s="148">
        <f t="shared" si="25"/>
        <v>2.0747018204645324</v>
      </c>
      <c r="H117" s="146">
        <v>0.15</v>
      </c>
      <c r="I117" s="148">
        <f>VLOOKUP(B117,'fixed cost'!$B$4:$R$116,17,0)</f>
        <v>5.8719E-2</v>
      </c>
      <c r="J117" s="146"/>
      <c r="K117" s="146"/>
      <c r="L117" s="148">
        <f>L116</f>
        <v>3.5999999999999997E-2</v>
      </c>
      <c r="M117" s="146"/>
      <c r="N117" s="146">
        <v>0.75</v>
      </c>
      <c r="O117" s="148">
        <f t="shared" si="16"/>
        <v>3.0694208204645324</v>
      </c>
      <c r="P117" s="148">
        <v>2.081</v>
      </c>
      <c r="Q117" s="188">
        <f t="shared" si="17"/>
        <v>-9.6999999999999975E-2</v>
      </c>
      <c r="R117" s="189">
        <f t="shared" si="18"/>
        <v>-4.6612205670350779E-2</v>
      </c>
    </row>
    <row r="118" spans="1:18" ht="15.75" customHeight="1" x14ac:dyDescent="0.25">
      <c r="A118" s="2">
        <f>A116+1</f>
        <v>94</v>
      </c>
      <c r="B118" s="4" t="s">
        <v>95</v>
      </c>
      <c r="C118" s="214">
        <v>2.048</v>
      </c>
      <c r="D118" s="1">
        <v>-1E-3</v>
      </c>
      <c r="E118" s="1">
        <f t="shared" si="24"/>
        <v>2.0470000000000002</v>
      </c>
      <c r="F118" s="7">
        <f t="shared" si="27"/>
        <v>4.4200000000000003E-2</v>
      </c>
      <c r="G118" s="1">
        <f t="shared" si="25"/>
        <v>2.1416614354467463</v>
      </c>
      <c r="H118" s="5">
        <v>0.15</v>
      </c>
      <c r="I118" s="1">
        <f>VLOOKUP(B118,'fixed cost'!$B$4:$R$116,17,0)</f>
        <v>7.0973400000000006E-2</v>
      </c>
      <c r="J118" s="2"/>
      <c r="K118" s="2"/>
      <c r="L118" s="2"/>
      <c r="M118" s="2"/>
      <c r="N118" s="2"/>
      <c r="O118" s="1">
        <f t="shared" si="16"/>
        <v>2.3626348354467464</v>
      </c>
      <c r="P118" s="213">
        <v>2.145</v>
      </c>
      <c r="Q118" s="188">
        <f t="shared" si="17"/>
        <v>-9.6999999999999975E-2</v>
      </c>
      <c r="R118" s="189">
        <f t="shared" si="18"/>
        <v>-4.5221445221445208E-2</v>
      </c>
    </row>
    <row r="119" spans="1:18" s="27" customFormat="1" ht="15.75" customHeight="1" x14ac:dyDescent="0.25">
      <c r="A119" s="2">
        <f>A118+1</f>
        <v>95</v>
      </c>
      <c r="B119" s="46" t="s">
        <v>95</v>
      </c>
      <c r="C119" s="67">
        <v>1.8620000000000001</v>
      </c>
      <c r="D119" s="68">
        <f>D118</f>
        <v>-1E-3</v>
      </c>
      <c r="E119" s="67">
        <f t="shared" si="24"/>
        <v>1.8610000000000002</v>
      </c>
      <c r="F119" s="184">
        <f t="shared" si="27"/>
        <v>4.4200000000000003E-2</v>
      </c>
      <c r="G119" s="67">
        <f t="shared" si="25"/>
        <v>1.9470600544046874</v>
      </c>
      <c r="H119" s="66">
        <v>0.15</v>
      </c>
      <c r="I119" s="67">
        <f>VLOOKUP(B119,'fixed cost'!$B$4:$R$116,17,0)</f>
        <v>7.0973400000000006E-2</v>
      </c>
      <c r="J119" s="66"/>
      <c r="K119" s="66"/>
      <c r="L119" s="66"/>
      <c r="M119" s="67">
        <f>VLOOKUP(B119,'fixed cost'!$B$4:$H$116,7,0)</f>
        <v>1.7249287472344317</v>
      </c>
      <c r="N119" s="67"/>
      <c r="O119" s="67">
        <f t="shared" si="16"/>
        <v>3.8929622016391194</v>
      </c>
      <c r="P119" s="67">
        <v>1.8620000000000001</v>
      </c>
      <c r="Q119" s="188">
        <f t="shared" si="17"/>
        <v>0</v>
      </c>
      <c r="R119" s="189">
        <f t="shared" si="18"/>
        <v>0</v>
      </c>
    </row>
    <row r="120" spans="1:18" s="182" customFormat="1" ht="15.75" customHeight="1" x14ac:dyDescent="0.25">
      <c r="A120" s="58">
        <f>A119+1</f>
        <v>96</v>
      </c>
      <c r="B120" s="59" t="str">
        <f>B119</f>
        <v>VSTPS-V</v>
      </c>
      <c r="C120" s="60">
        <f>C119</f>
        <v>1.8620000000000001</v>
      </c>
      <c r="D120" s="60">
        <f>D119</f>
        <v>-1E-3</v>
      </c>
      <c r="E120" s="60">
        <f t="shared" si="24"/>
        <v>1.8610000000000002</v>
      </c>
      <c r="F120" s="124">
        <f t="shared" si="27"/>
        <v>4.4200000000000003E-2</v>
      </c>
      <c r="G120" s="60">
        <f t="shared" si="25"/>
        <v>1.9470600544046874</v>
      </c>
      <c r="H120" s="58">
        <f>H119</f>
        <v>0.15</v>
      </c>
      <c r="I120" s="60">
        <f>VLOOKUP(B120,'fixed cost'!$B$4:$R$116,17,0)</f>
        <v>7.0973400000000006E-2</v>
      </c>
      <c r="J120" s="58"/>
      <c r="K120" s="58"/>
      <c r="L120" s="58"/>
      <c r="M120" s="125"/>
      <c r="N120" s="58">
        <v>0.55000000000000004</v>
      </c>
      <c r="O120" s="60">
        <f t="shared" si="16"/>
        <v>2.7180334544046874</v>
      </c>
      <c r="P120" s="60">
        <v>1.8620000000000001</v>
      </c>
      <c r="Q120" s="188">
        <f t="shared" si="17"/>
        <v>0</v>
      </c>
      <c r="R120" s="189">
        <f t="shared" si="18"/>
        <v>0</v>
      </c>
    </row>
    <row r="121" spans="1:18" s="182" customFormat="1" ht="15.75" customHeight="1" x14ac:dyDescent="0.25">
      <c r="A121" s="146">
        <f>A120+1</f>
        <v>97</v>
      </c>
      <c r="B121" s="147" t="str">
        <f>B120</f>
        <v>VSTPS-V</v>
      </c>
      <c r="C121" s="148">
        <f>C120</f>
        <v>1.8620000000000001</v>
      </c>
      <c r="D121" s="149">
        <f>D120</f>
        <v>-1E-3</v>
      </c>
      <c r="E121" s="148">
        <f t="shared" si="24"/>
        <v>1.8610000000000002</v>
      </c>
      <c r="F121" s="150">
        <f t="shared" si="27"/>
        <v>4.4200000000000003E-2</v>
      </c>
      <c r="G121" s="148">
        <f t="shared" si="25"/>
        <v>1.9470600544046874</v>
      </c>
      <c r="H121" s="146">
        <f>H120</f>
        <v>0.15</v>
      </c>
      <c r="I121" s="148">
        <f>VLOOKUP(B121,'fixed cost'!$B$4:$R$116,17,0)</f>
        <v>7.0973400000000006E-2</v>
      </c>
      <c r="J121" s="146"/>
      <c r="K121" s="146"/>
      <c r="L121" s="146"/>
      <c r="M121" s="146"/>
      <c r="N121" s="146">
        <v>0.75</v>
      </c>
      <c r="O121" s="148">
        <f t="shared" si="16"/>
        <v>2.9180334544046875</v>
      </c>
      <c r="P121" s="148">
        <v>1.8620000000000001</v>
      </c>
      <c r="Q121" s="188">
        <f t="shared" si="17"/>
        <v>0</v>
      </c>
      <c r="R121" s="189">
        <f t="shared" si="18"/>
        <v>0</v>
      </c>
    </row>
    <row r="122" spans="1:18" ht="15.75" customHeight="1" x14ac:dyDescent="0.25">
      <c r="A122" s="127">
        <f>A120+1</f>
        <v>97</v>
      </c>
      <c r="B122" s="4" t="s">
        <v>160</v>
      </c>
      <c r="C122" s="1">
        <v>2.0049999999999999</v>
      </c>
      <c r="D122" s="15"/>
      <c r="E122" s="1">
        <f t="shared" si="24"/>
        <v>2.0049999999999999</v>
      </c>
      <c r="F122" s="7">
        <f t="shared" si="27"/>
        <v>4.4200000000000003E-2</v>
      </c>
      <c r="G122" s="1">
        <f t="shared" si="25"/>
        <v>2.0977191881146684</v>
      </c>
      <c r="H122" s="2"/>
      <c r="I122" s="1">
        <f>VLOOKUP(B122,'fixed cost'!$B$4:$R$116,17,0)</f>
        <v>0</v>
      </c>
      <c r="J122" s="2"/>
      <c r="K122" s="2"/>
      <c r="L122" s="2"/>
      <c r="M122" s="2"/>
      <c r="N122" s="2"/>
      <c r="O122" s="1">
        <f t="shared" si="16"/>
        <v>2.0977191881146684</v>
      </c>
      <c r="P122" s="1">
        <v>2.0049999999999999</v>
      </c>
      <c r="Q122" s="188">
        <f t="shared" si="17"/>
        <v>0</v>
      </c>
      <c r="R122" s="189">
        <f t="shared" si="18"/>
        <v>0</v>
      </c>
    </row>
    <row r="123" spans="1:18" s="27" customFormat="1" ht="15.75" customHeight="1" x14ac:dyDescent="0.25">
      <c r="A123" s="127">
        <f>A122+1</f>
        <v>98</v>
      </c>
      <c r="B123" s="46" t="s">
        <v>160</v>
      </c>
      <c r="C123" s="67">
        <f>C122</f>
        <v>2.0049999999999999</v>
      </c>
      <c r="D123" s="122"/>
      <c r="E123" s="67">
        <f t="shared" si="24"/>
        <v>2.0049999999999999</v>
      </c>
      <c r="F123" s="184">
        <f t="shared" si="27"/>
        <v>4.4200000000000003E-2</v>
      </c>
      <c r="G123" s="67">
        <f t="shared" si="25"/>
        <v>2.0977191881146684</v>
      </c>
      <c r="H123" s="66"/>
      <c r="I123" s="67">
        <f>VLOOKUP(B123,'fixed cost'!$B$4:$R$116,17,0)</f>
        <v>0</v>
      </c>
      <c r="J123" s="66"/>
      <c r="K123" s="66"/>
      <c r="L123" s="66"/>
      <c r="M123" s="67">
        <f>VLOOKUP(B123,'fixed cost'!$B$4:$H$116,7,0)</f>
        <v>0.70899999999999996</v>
      </c>
      <c r="N123" s="66"/>
      <c r="O123" s="67">
        <f t="shared" si="16"/>
        <v>2.8067191881146685</v>
      </c>
      <c r="P123" s="67">
        <v>2.0049999999999999</v>
      </c>
      <c r="Q123" s="188">
        <f t="shared" si="17"/>
        <v>0</v>
      </c>
      <c r="R123" s="189">
        <f t="shared" si="18"/>
        <v>0</v>
      </c>
    </row>
    <row r="124" spans="1:18" s="119" customFormat="1" ht="15.75" customHeight="1" x14ac:dyDescent="0.25">
      <c r="A124" s="127">
        <f>A121+1</f>
        <v>98</v>
      </c>
      <c r="B124" s="93" t="s">
        <v>242</v>
      </c>
      <c r="C124" s="94">
        <v>9.1890000000000001</v>
      </c>
      <c r="D124" s="121"/>
      <c r="E124" s="94">
        <f t="shared" si="24"/>
        <v>9.1890000000000001</v>
      </c>
      <c r="F124" s="173">
        <f>F121</f>
        <v>4.4200000000000003E-2</v>
      </c>
      <c r="G124" s="94">
        <f t="shared" si="25"/>
        <v>9.613935969868173</v>
      </c>
      <c r="H124" s="92"/>
      <c r="I124" s="94">
        <f>VLOOKUP(B124,'fixed cost'!$B$4:$R$116,17,0)</f>
        <v>0</v>
      </c>
      <c r="J124" s="92"/>
      <c r="K124" s="92"/>
      <c r="L124" s="92"/>
      <c r="M124" s="92"/>
      <c r="N124" s="92"/>
      <c r="O124" s="94">
        <f t="shared" si="16"/>
        <v>9.613935969868173</v>
      </c>
      <c r="P124" s="94">
        <v>9.2739999999999991</v>
      </c>
      <c r="Q124" s="188">
        <f t="shared" si="17"/>
        <v>-8.4999999999999076E-2</v>
      </c>
      <c r="R124" s="189">
        <f t="shared" si="18"/>
        <v>-9.165408669398219E-3</v>
      </c>
    </row>
    <row r="125" spans="1:18" s="27" customFormat="1" ht="15.75" customHeight="1" x14ac:dyDescent="0.25">
      <c r="A125" s="127">
        <f>A124+1</f>
        <v>99</v>
      </c>
      <c r="B125" s="46" t="s">
        <v>242</v>
      </c>
      <c r="C125" s="67">
        <f>C124</f>
        <v>9.1890000000000001</v>
      </c>
      <c r="D125" s="122"/>
      <c r="E125" s="67">
        <f t="shared" si="24"/>
        <v>9.1890000000000001</v>
      </c>
      <c r="F125" s="184">
        <f>F124</f>
        <v>4.4200000000000003E-2</v>
      </c>
      <c r="G125" s="67">
        <f t="shared" si="25"/>
        <v>9.613935969868173</v>
      </c>
      <c r="H125" s="66"/>
      <c r="I125" s="67">
        <f>VLOOKUP(B125,'fixed cost'!$B$4:$R$116,17,0)</f>
        <v>0</v>
      </c>
      <c r="J125" s="66"/>
      <c r="K125" s="66"/>
      <c r="L125" s="66"/>
      <c r="M125" s="67">
        <f>VLOOKUP(B125,'fixed cost'!$B$4:$H$116,7,0)</f>
        <v>0.70899999999999996</v>
      </c>
      <c r="N125" s="66"/>
      <c r="O125" s="67">
        <f t="shared" si="16"/>
        <v>10.322935969868173</v>
      </c>
      <c r="P125" s="67">
        <v>9.2739999999999991</v>
      </c>
      <c r="Q125" s="188">
        <f t="shared" si="17"/>
        <v>-8.4999999999999076E-2</v>
      </c>
      <c r="R125" s="189">
        <f t="shared" si="18"/>
        <v>-9.165408669398219E-3</v>
      </c>
    </row>
    <row r="126" spans="1:18" s="119" customFormat="1" ht="15.75" customHeight="1" x14ac:dyDescent="0.25">
      <c r="A126" s="127">
        <f>A123+1</f>
        <v>99</v>
      </c>
      <c r="B126" s="93" t="s">
        <v>161</v>
      </c>
      <c r="C126" s="94">
        <v>11.266</v>
      </c>
      <c r="D126" s="121"/>
      <c r="E126" s="94">
        <f t="shared" si="24"/>
        <v>11.266</v>
      </c>
      <c r="F126" s="173">
        <f>F123</f>
        <v>4.4200000000000003E-2</v>
      </c>
      <c r="G126" s="94">
        <f t="shared" si="25"/>
        <v>11.786984724837833</v>
      </c>
      <c r="H126" s="92"/>
      <c r="I126" s="94">
        <f>VLOOKUP(B126,'fixed cost'!$B$4:$R$116,17,0)</f>
        <v>0</v>
      </c>
      <c r="J126" s="92"/>
      <c r="K126" s="92"/>
      <c r="L126" s="92"/>
      <c r="M126" s="92"/>
      <c r="N126" s="92"/>
      <c r="O126" s="94">
        <f t="shared" si="16"/>
        <v>11.786984724837833</v>
      </c>
      <c r="P126" s="94">
        <v>11.085000000000001</v>
      </c>
      <c r="Q126" s="188">
        <f t="shared" si="17"/>
        <v>0.18099999999999916</v>
      </c>
      <c r="R126" s="189">
        <f t="shared" si="18"/>
        <v>1.6328371673432488E-2</v>
      </c>
    </row>
    <row r="127" spans="1:18" s="27" customFormat="1" ht="15.75" customHeight="1" x14ac:dyDescent="0.25">
      <c r="A127" s="127">
        <f t="shared" ref="A127:A137" si="30">A126+1</f>
        <v>100</v>
      </c>
      <c r="B127" s="46" t="s">
        <v>161</v>
      </c>
      <c r="C127" s="67">
        <f>C126</f>
        <v>11.266</v>
      </c>
      <c r="D127" s="122"/>
      <c r="E127" s="67">
        <f t="shared" si="24"/>
        <v>11.266</v>
      </c>
      <c r="F127" s="184">
        <f t="shared" ref="F127:F165" si="31">F126</f>
        <v>4.4200000000000003E-2</v>
      </c>
      <c r="G127" s="67">
        <f t="shared" si="25"/>
        <v>11.786984724837833</v>
      </c>
      <c r="H127" s="66"/>
      <c r="I127" s="67">
        <f>VLOOKUP(B127,'fixed cost'!$B$4:$R$116,17,0)</f>
        <v>0</v>
      </c>
      <c r="J127" s="66"/>
      <c r="K127" s="66"/>
      <c r="L127" s="66"/>
      <c r="M127" s="67">
        <f>VLOOKUP(B127,'fixed cost'!$B$4:$H$116,7,0)</f>
        <v>0.70899999999999996</v>
      </c>
      <c r="N127" s="66"/>
      <c r="O127" s="67">
        <f t="shared" si="16"/>
        <v>12.495984724837832</v>
      </c>
      <c r="P127" s="67">
        <v>11.085000000000001</v>
      </c>
      <c r="Q127" s="188">
        <f t="shared" si="17"/>
        <v>0.18099999999999916</v>
      </c>
      <c r="R127" s="189">
        <f t="shared" si="18"/>
        <v>1.6328371673432488E-2</v>
      </c>
    </row>
    <row r="128" spans="1:18" s="119" customFormat="1" ht="15.75" customHeight="1" x14ac:dyDescent="0.25">
      <c r="A128" s="127">
        <f t="shared" si="30"/>
        <v>101</v>
      </c>
      <c r="B128" s="93" t="s">
        <v>162</v>
      </c>
      <c r="C128" s="94">
        <v>17.498000000000001</v>
      </c>
      <c r="D128" s="121"/>
      <c r="E128" s="94">
        <f t="shared" si="24"/>
        <v>17.498000000000001</v>
      </c>
      <c r="F128" s="173">
        <f t="shared" si="31"/>
        <v>4.4200000000000003E-2</v>
      </c>
      <c r="G128" s="94">
        <f t="shared" si="25"/>
        <v>18.307177233730908</v>
      </c>
      <c r="H128" s="92"/>
      <c r="I128" s="94">
        <f>VLOOKUP(B128,'fixed cost'!$B$4:$R$116,17,0)</f>
        <v>0</v>
      </c>
      <c r="J128" s="92"/>
      <c r="K128" s="92"/>
      <c r="L128" s="92"/>
      <c r="M128" s="92"/>
      <c r="N128" s="92"/>
      <c r="O128" s="94">
        <f t="shared" si="16"/>
        <v>18.307177233730908</v>
      </c>
      <c r="P128" s="94">
        <v>17.498000000000001</v>
      </c>
      <c r="Q128" s="188">
        <f t="shared" si="17"/>
        <v>0</v>
      </c>
      <c r="R128" s="189">
        <f t="shared" si="18"/>
        <v>0</v>
      </c>
    </row>
    <row r="129" spans="1:18" s="27" customFormat="1" ht="15.75" customHeight="1" x14ac:dyDescent="0.25">
      <c r="A129" s="127">
        <f t="shared" si="30"/>
        <v>102</v>
      </c>
      <c r="B129" s="46" t="s">
        <v>162</v>
      </c>
      <c r="C129" s="67">
        <f>C128</f>
        <v>17.498000000000001</v>
      </c>
      <c r="D129" s="122"/>
      <c r="E129" s="67">
        <f t="shared" si="24"/>
        <v>17.498000000000001</v>
      </c>
      <c r="F129" s="184">
        <f t="shared" si="31"/>
        <v>4.4200000000000003E-2</v>
      </c>
      <c r="G129" s="67">
        <f t="shared" si="25"/>
        <v>18.307177233730908</v>
      </c>
      <c r="H129" s="66"/>
      <c r="I129" s="67">
        <f>VLOOKUP(B129,'fixed cost'!$B$4:$R$116,17,0)</f>
        <v>0</v>
      </c>
      <c r="J129" s="66"/>
      <c r="K129" s="66"/>
      <c r="L129" s="66"/>
      <c r="M129" s="67">
        <f>VLOOKUP(B129,'fixed cost'!$B$4:$H$116,7,0)</f>
        <v>0.70899999999999996</v>
      </c>
      <c r="N129" s="66"/>
      <c r="O129" s="67">
        <f t="shared" si="16"/>
        <v>19.016177233730907</v>
      </c>
      <c r="P129" s="67">
        <v>17.498000000000001</v>
      </c>
      <c r="Q129" s="188">
        <f t="shared" si="17"/>
        <v>0</v>
      </c>
      <c r="R129" s="189">
        <f t="shared" si="18"/>
        <v>0</v>
      </c>
    </row>
    <row r="130" spans="1:18" ht="15.75" customHeight="1" x14ac:dyDescent="0.25">
      <c r="A130" s="127">
        <f t="shared" si="30"/>
        <v>103</v>
      </c>
      <c r="B130" s="4" t="s">
        <v>154</v>
      </c>
      <c r="C130" s="1">
        <v>2.085</v>
      </c>
      <c r="D130" s="15"/>
      <c r="E130" s="1">
        <f t="shared" si="24"/>
        <v>2.085</v>
      </c>
      <c r="F130" s="7">
        <f t="shared" si="31"/>
        <v>4.4200000000000003E-2</v>
      </c>
      <c r="G130" s="1">
        <f t="shared" si="25"/>
        <v>2.1814187068424356</v>
      </c>
      <c r="H130" s="2"/>
      <c r="I130" s="1">
        <f>VLOOKUP(B130,'fixed cost'!$B$4:$R$116,17,0)</f>
        <v>0</v>
      </c>
      <c r="J130" s="2"/>
      <c r="K130" s="2"/>
      <c r="L130" s="2"/>
      <c r="M130" s="2"/>
      <c r="N130" s="2"/>
      <c r="O130" s="1">
        <f t="shared" si="16"/>
        <v>2.1814187068424356</v>
      </c>
      <c r="P130" s="1">
        <v>2.085</v>
      </c>
      <c r="Q130" s="188">
        <f t="shared" si="17"/>
        <v>0</v>
      </c>
      <c r="R130" s="189">
        <f t="shared" si="18"/>
        <v>0</v>
      </c>
    </row>
    <row r="131" spans="1:18" s="27" customFormat="1" ht="15.75" customHeight="1" x14ac:dyDescent="0.25">
      <c r="A131" s="127">
        <f t="shared" si="30"/>
        <v>104</v>
      </c>
      <c r="B131" s="46" t="s">
        <v>154</v>
      </c>
      <c r="C131" s="67">
        <f>C130</f>
        <v>2.085</v>
      </c>
      <c r="D131" s="122"/>
      <c r="E131" s="67">
        <f t="shared" si="24"/>
        <v>2.085</v>
      </c>
      <c r="F131" s="184">
        <f t="shared" si="31"/>
        <v>4.4200000000000003E-2</v>
      </c>
      <c r="G131" s="67">
        <f t="shared" si="25"/>
        <v>2.1814187068424356</v>
      </c>
      <c r="H131" s="66"/>
      <c r="I131" s="67">
        <f>VLOOKUP(B131,'fixed cost'!$B$4:$R$116,17,0)</f>
        <v>0</v>
      </c>
      <c r="J131" s="66"/>
      <c r="K131" s="66"/>
      <c r="L131" s="66"/>
      <c r="M131" s="67">
        <f>VLOOKUP(B131,'fixed cost'!$B$4:$H$116,7,0)</f>
        <v>0.63500000000000001</v>
      </c>
      <c r="N131" s="66"/>
      <c r="O131" s="67">
        <f t="shared" si="16"/>
        <v>2.8164187068424358</v>
      </c>
      <c r="P131" s="67">
        <v>2.085</v>
      </c>
      <c r="Q131" s="188">
        <f t="shared" si="17"/>
        <v>0</v>
      </c>
      <c r="R131" s="189">
        <f t="shared" si="18"/>
        <v>0</v>
      </c>
    </row>
    <row r="132" spans="1:18" s="119" customFormat="1" ht="15.75" customHeight="1" x14ac:dyDescent="0.25">
      <c r="A132" s="127">
        <f t="shared" si="30"/>
        <v>105</v>
      </c>
      <c r="B132" s="93" t="s">
        <v>155</v>
      </c>
      <c r="C132" s="94">
        <v>18.689</v>
      </c>
      <c r="D132" s="121"/>
      <c r="E132" s="94">
        <f t="shared" si="24"/>
        <v>18.689</v>
      </c>
      <c r="F132" s="173">
        <f t="shared" si="31"/>
        <v>4.4200000000000003E-2</v>
      </c>
      <c r="G132" s="94">
        <f t="shared" si="25"/>
        <v>19.553253818790541</v>
      </c>
      <c r="H132" s="92"/>
      <c r="I132" s="94">
        <f>VLOOKUP(B132,'fixed cost'!$B$4:$R$116,17,0)</f>
        <v>0</v>
      </c>
      <c r="J132" s="92"/>
      <c r="K132" s="92"/>
      <c r="L132" s="92"/>
      <c r="M132" s="92"/>
      <c r="N132" s="92"/>
      <c r="O132" s="94">
        <f t="shared" si="16"/>
        <v>19.553253818790541</v>
      </c>
      <c r="P132" s="94">
        <v>18.561</v>
      </c>
      <c r="Q132" s="188">
        <f t="shared" si="17"/>
        <v>0.12800000000000011</v>
      </c>
      <c r="R132" s="189">
        <f t="shared" si="18"/>
        <v>6.8961801627067569E-3</v>
      </c>
    </row>
    <row r="133" spans="1:18" s="27" customFormat="1" ht="15.75" customHeight="1" x14ac:dyDescent="0.25">
      <c r="A133" s="127">
        <f t="shared" si="30"/>
        <v>106</v>
      </c>
      <c r="B133" s="46" t="s">
        <v>155</v>
      </c>
      <c r="C133" s="67">
        <f>C132</f>
        <v>18.689</v>
      </c>
      <c r="D133" s="122"/>
      <c r="E133" s="67">
        <f t="shared" si="24"/>
        <v>18.689</v>
      </c>
      <c r="F133" s="184">
        <f t="shared" si="31"/>
        <v>4.4200000000000003E-2</v>
      </c>
      <c r="G133" s="67">
        <f t="shared" si="25"/>
        <v>19.553253818790541</v>
      </c>
      <c r="H133" s="66"/>
      <c r="I133" s="67">
        <f>VLOOKUP(B133,'fixed cost'!$B$4:$R$116,17,0)</f>
        <v>0</v>
      </c>
      <c r="J133" s="66"/>
      <c r="K133" s="66"/>
      <c r="L133" s="66"/>
      <c r="M133" s="67">
        <f>VLOOKUP(B133,'fixed cost'!$B$4:$H$116,7,0)</f>
        <v>0.63500000000000001</v>
      </c>
      <c r="N133" s="66"/>
      <c r="O133" s="67">
        <f t="shared" si="16"/>
        <v>20.188253818790542</v>
      </c>
      <c r="P133" s="67">
        <v>18.561</v>
      </c>
      <c r="Q133" s="188">
        <f t="shared" si="17"/>
        <v>0.12800000000000011</v>
      </c>
      <c r="R133" s="189">
        <f t="shared" si="18"/>
        <v>6.8961801627067569E-3</v>
      </c>
    </row>
    <row r="134" spans="1:18" s="119" customFormat="1" ht="15.75" customHeight="1" x14ac:dyDescent="0.25">
      <c r="A134" s="127">
        <f t="shared" si="30"/>
        <v>107</v>
      </c>
      <c r="B134" s="93" t="s">
        <v>156</v>
      </c>
      <c r="C134" s="94">
        <v>11.401999999999999</v>
      </c>
      <c r="D134" s="121"/>
      <c r="E134" s="94">
        <f t="shared" si="24"/>
        <v>11.401999999999999</v>
      </c>
      <c r="F134" s="173">
        <f t="shared" si="31"/>
        <v>4.4200000000000003E-2</v>
      </c>
      <c r="G134" s="94">
        <f t="shared" si="25"/>
        <v>11.929273906675036</v>
      </c>
      <c r="H134" s="92"/>
      <c r="I134" s="94">
        <f>VLOOKUP(B134,'fixed cost'!$B$4:$R$116,17,0)</f>
        <v>0</v>
      </c>
      <c r="J134" s="92"/>
      <c r="K134" s="92"/>
      <c r="L134" s="92"/>
      <c r="M134" s="92"/>
      <c r="N134" s="92"/>
      <c r="O134" s="94">
        <f t="shared" ref="O134:O197" si="32">SUM(G134:N134)</f>
        <v>11.929273906675036</v>
      </c>
      <c r="P134" s="94">
        <v>11.215999999999999</v>
      </c>
      <c r="Q134" s="188">
        <f t="shared" ref="Q134:Q197" si="33">C134-P134</f>
        <v>0.18599999999999994</v>
      </c>
      <c r="R134" s="189">
        <f t="shared" ref="R134:R197" si="34">Q134/P134</f>
        <v>1.6583452211126958E-2</v>
      </c>
    </row>
    <row r="135" spans="1:18" s="27" customFormat="1" ht="15.75" customHeight="1" x14ac:dyDescent="0.25">
      <c r="A135" s="127">
        <f t="shared" si="30"/>
        <v>108</v>
      </c>
      <c r="B135" s="46" t="s">
        <v>156</v>
      </c>
      <c r="C135" s="67">
        <f>C134</f>
        <v>11.401999999999999</v>
      </c>
      <c r="D135" s="122"/>
      <c r="E135" s="67">
        <f t="shared" si="24"/>
        <v>11.401999999999999</v>
      </c>
      <c r="F135" s="184">
        <f t="shared" si="31"/>
        <v>4.4200000000000003E-2</v>
      </c>
      <c r="G135" s="67">
        <f t="shared" si="25"/>
        <v>11.929273906675036</v>
      </c>
      <c r="H135" s="66"/>
      <c r="I135" s="67">
        <f>VLOOKUP(B135,'fixed cost'!$B$4:$R$116,17,0)</f>
        <v>0</v>
      </c>
      <c r="J135" s="66"/>
      <c r="K135" s="66"/>
      <c r="L135" s="66"/>
      <c r="M135" s="67">
        <f>VLOOKUP(B135,'fixed cost'!$B$4:$H$116,7,0)</f>
        <v>0.63500000000000001</v>
      </c>
      <c r="N135" s="66"/>
      <c r="O135" s="67">
        <f t="shared" si="32"/>
        <v>12.564273906675036</v>
      </c>
      <c r="P135" s="67">
        <v>11.215999999999999</v>
      </c>
      <c r="Q135" s="188">
        <f t="shared" si="33"/>
        <v>0.18599999999999994</v>
      </c>
      <c r="R135" s="189">
        <f t="shared" si="34"/>
        <v>1.6583452211126958E-2</v>
      </c>
    </row>
    <row r="136" spans="1:18" s="119" customFormat="1" ht="15.75" customHeight="1" x14ac:dyDescent="0.25">
      <c r="A136" s="127">
        <f t="shared" si="30"/>
        <v>109</v>
      </c>
      <c r="B136" s="93" t="s">
        <v>178</v>
      </c>
      <c r="C136" s="94">
        <v>12.268000000000001</v>
      </c>
      <c r="D136" s="121"/>
      <c r="E136" s="94">
        <f t="shared" si="24"/>
        <v>12.268000000000001</v>
      </c>
      <c r="F136" s="173">
        <f t="shared" si="31"/>
        <v>4.4200000000000003E-2</v>
      </c>
      <c r="G136" s="94">
        <f t="shared" si="25"/>
        <v>12.835321196903118</v>
      </c>
      <c r="H136" s="92"/>
      <c r="I136" s="94">
        <f>VLOOKUP(B136,'fixed cost'!$B$4:$R$116,17,0)</f>
        <v>0</v>
      </c>
      <c r="J136" s="92"/>
      <c r="K136" s="92"/>
      <c r="L136" s="92"/>
      <c r="M136" s="92"/>
      <c r="N136" s="92"/>
      <c r="O136" s="94">
        <f t="shared" si="32"/>
        <v>12.835321196903118</v>
      </c>
      <c r="P136" s="94">
        <v>9.5210000000000008</v>
      </c>
      <c r="Q136" s="188">
        <f t="shared" si="33"/>
        <v>2.7469999999999999</v>
      </c>
      <c r="R136" s="189">
        <f t="shared" si="34"/>
        <v>0.28852011343346284</v>
      </c>
    </row>
    <row r="137" spans="1:18" s="27" customFormat="1" ht="15.75" customHeight="1" x14ac:dyDescent="0.25">
      <c r="A137" s="127">
        <f t="shared" si="30"/>
        <v>110</v>
      </c>
      <c r="B137" s="46" t="s">
        <v>178</v>
      </c>
      <c r="C137" s="67">
        <f>C136</f>
        <v>12.268000000000001</v>
      </c>
      <c r="D137" s="122"/>
      <c r="E137" s="67">
        <f t="shared" si="24"/>
        <v>12.268000000000001</v>
      </c>
      <c r="F137" s="184">
        <f t="shared" si="31"/>
        <v>4.4200000000000003E-2</v>
      </c>
      <c r="G137" s="67">
        <f t="shared" si="25"/>
        <v>12.835321196903118</v>
      </c>
      <c r="H137" s="66"/>
      <c r="I137" s="67">
        <f>VLOOKUP(B137,'fixed cost'!$B$4:$R$116,17,0)</f>
        <v>0</v>
      </c>
      <c r="J137" s="66"/>
      <c r="K137" s="66"/>
      <c r="L137" s="66"/>
      <c r="M137" s="67">
        <f>VLOOKUP(B137,'fixed cost'!$B$4:$H$116,7,0)</f>
        <v>0.63500000000000001</v>
      </c>
      <c r="N137" s="66"/>
      <c r="O137" s="67">
        <f t="shared" si="32"/>
        <v>13.470321196903118</v>
      </c>
      <c r="P137" s="67">
        <v>9.5210000000000008</v>
      </c>
      <c r="Q137" s="188">
        <f t="shared" si="33"/>
        <v>2.7469999999999999</v>
      </c>
      <c r="R137" s="189">
        <f t="shared" si="34"/>
        <v>0.28852011343346284</v>
      </c>
    </row>
    <row r="138" spans="1:18" s="119" customFormat="1" ht="15.75" customHeight="1" x14ac:dyDescent="0.25">
      <c r="A138" s="127">
        <f>A135+1</f>
        <v>109</v>
      </c>
      <c r="B138" s="97" t="s">
        <v>143</v>
      </c>
      <c r="C138" s="98">
        <v>1.2050000000000001</v>
      </c>
      <c r="D138" s="98"/>
      <c r="E138" s="98">
        <f t="shared" si="24"/>
        <v>1.2050000000000001</v>
      </c>
      <c r="F138" s="172">
        <f t="shared" si="31"/>
        <v>4.4200000000000003E-2</v>
      </c>
      <c r="G138" s="98">
        <f t="shared" si="25"/>
        <v>1.2607240008369953</v>
      </c>
      <c r="H138" s="96"/>
      <c r="I138" s="98">
        <f>VLOOKUP(B138,'fixed cost'!$B$4:$R$116,17,0)</f>
        <v>0</v>
      </c>
      <c r="J138" s="96"/>
      <c r="K138" s="96"/>
      <c r="L138" s="96"/>
      <c r="M138" s="96"/>
      <c r="N138" s="96"/>
      <c r="O138" s="98">
        <f t="shared" si="32"/>
        <v>1.2607240008369953</v>
      </c>
      <c r="P138" s="98">
        <v>1.2050000000000001</v>
      </c>
      <c r="Q138" s="188">
        <f t="shared" si="33"/>
        <v>0</v>
      </c>
      <c r="R138" s="189">
        <f t="shared" si="34"/>
        <v>0</v>
      </c>
    </row>
    <row r="139" spans="1:18" s="119" customFormat="1" ht="15.75" customHeight="1" x14ac:dyDescent="0.25">
      <c r="A139" s="127">
        <f t="shared" ref="A139:A172" si="35">A138+1</f>
        <v>110</v>
      </c>
      <c r="B139" s="97" t="s">
        <v>149</v>
      </c>
      <c r="C139" s="98">
        <v>2.0880000000000001</v>
      </c>
      <c r="D139" s="98"/>
      <c r="E139" s="98">
        <f t="shared" si="24"/>
        <v>2.0880000000000001</v>
      </c>
      <c r="F139" s="172">
        <f t="shared" si="31"/>
        <v>4.4200000000000003E-2</v>
      </c>
      <c r="G139" s="98">
        <f t="shared" si="25"/>
        <v>2.1845574387947271</v>
      </c>
      <c r="H139" s="96"/>
      <c r="I139" s="98">
        <f>VLOOKUP(B139,'fixed cost'!$B$4:$R$116,17,0)</f>
        <v>0</v>
      </c>
      <c r="J139" s="96"/>
      <c r="K139" s="96"/>
      <c r="L139" s="96"/>
      <c r="M139" s="96"/>
      <c r="N139" s="96"/>
      <c r="O139" s="98">
        <f t="shared" si="32"/>
        <v>2.1845574387947271</v>
      </c>
      <c r="P139" s="98">
        <v>2.0880000000000001</v>
      </c>
      <c r="Q139" s="188">
        <f t="shared" si="33"/>
        <v>0</v>
      </c>
      <c r="R139" s="189">
        <f t="shared" si="34"/>
        <v>0</v>
      </c>
    </row>
    <row r="140" spans="1:18" ht="15.75" customHeight="1" x14ac:dyDescent="0.25">
      <c r="A140" s="127">
        <f t="shared" si="35"/>
        <v>111</v>
      </c>
      <c r="B140" s="4" t="s">
        <v>157</v>
      </c>
      <c r="C140" s="1">
        <v>2.0499999999999998</v>
      </c>
      <c r="D140" s="15"/>
      <c r="E140" s="1">
        <f t="shared" si="24"/>
        <v>2.0499999999999998</v>
      </c>
      <c r="F140" s="7">
        <f t="shared" si="31"/>
        <v>4.4200000000000003E-2</v>
      </c>
      <c r="G140" s="1">
        <f t="shared" si="25"/>
        <v>2.1448001673990373</v>
      </c>
      <c r="H140" s="2"/>
      <c r="I140" s="1">
        <f>VLOOKUP(B140,'fixed cost'!$B$4:$R$116,17,0)</f>
        <v>0</v>
      </c>
      <c r="J140" s="2"/>
      <c r="K140" s="2"/>
      <c r="L140" s="2"/>
      <c r="M140" s="2"/>
      <c r="N140" s="2"/>
      <c r="O140" s="1">
        <f t="shared" si="32"/>
        <v>2.1448001673990373</v>
      </c>
      <c r="P140" s="1">
        <v>2.0499999999999998</v>
      </c>
      <c r="Q140" s="188">
        <f t="shared" si="33"/>
        <v>0</v>
      </c>
      <c r="R140" s="189">
        <f t="shared" si="34"/>
        <v>0</v>
      </c>
    </row>
    <row r="141" spans="1:18" s="27" customFormat="1" ht="15.75" customHeight="1" x14ac:dyDescent="0.25">
      <c r="A141" s="127">
        <f t="shared" si="35"/>
        <v>112</v>
      </c>
      <c r="B141" s="46" t="s">
        <v>157</v>
      </c>
      <c r="C141" s="67">
        <f>C140</f>
        <v>2.0499999999999998</v>
      </c>
      <c r="D141" s="122">
        <f>D140</f>
        <v>0</v>
      </c>
      <c r="E141" s="67">
        <f t="shared" si="24"/>
        <v>2.0499999999999998</v>
      </c>
      <c r="F141" s="184">
        <f t="shared" si="31"/>
        <v>4.4200000000000003E-2</v>
      </c>
      <c r="G141" s="67">
        <f t="shared" si="25"/>
        <v>2.1448001673990373</v>
      </c>
      <c r="H141" s="66"/>
      <c r="I141" s="67">
        <f>VLOOKUP(B141,'fixed cost'!$B$4:$R$116,17,0)</f>
        <v>0</v>
      </c>
      <c r="J141" s="66"/>
      <c r="K141" s="66"/>
      <c r="L141" s="66"/>
      <c r="M141" s="67">
        <f>VLOOKUP(B141,'fixed cost'!$B$4:$H$116,7,0)</f>
        <v>0.52960707387180206</v>
      </c>
      <c r="N141" s="66"/>
      <c r="O141" s="67">
        <f t="shared" si="32"/>
        <v>2.6744072412708393</v>
      </c>
      <c r="P141" s="67">
        <v>2.0499999999999998</v>
      </c>
      <c r="Q141" s="188">
        <f t="shared" si="33"/>
        <v>0</v>
      </c>
      <c r="R141" s="189">
        <f t="shared" si="34"/>
        <v>0</v>
      </c>
    </row>
    <row r="142" spans="1:18" s="119" customFormat="1" ht="15.75" customHeight="1" x14ac:dyDescent="0.25">
      <c r="A142" s="127">
        <f t="shared" si="35"/>
        <v>113</v>
      </c>
      <c r="B142" s="93" t="s">
        <v>158</v>
      </c>
      <c r="C142" s="94">
        <v>23.873999999999999</v>
      </c>
      <c r="D142" s="94"/>
      <c r="E142" s="94">
        <f t="shared" si="24"/>
        <v>23.873999999999999</v>
      </c>
      <c r="F142" s="173">
        <f t="shared" si="31"/>
        <v>4.4200000000000003E-2</v>
      </c>
      <c r="G142" s="94">
        <f t="shared" si="25"/>
        <v>24.978028876333962</v>
      </c>
      <c r="H142" s="92"/>
      <c r="I142" s="94">
        <f>VLOOKUP(B142,'fixed cost'!$B$4:$R$116,17,0)</f>
        <v>0</v>
      </c>
      <c r="J142" s="92"/>
      <c r="K142" s="92"/>
      <c r="L142" s="92"/>
      <c r="M142" s="92"/>
      <c r="N142" s="92"/>
      <c r="O142" s="94">
        <f t="shared" si="32"/>
        <v>24.978028876333962</v>
      </c>
      <c r="P142" s="94">
        <v>23.873999999999999</v>
      </c>
      <c r="Q142" s="188">
        <f t="shared" si="33"/>
        <v>0</v>
      </c>
      <c r="R142" s="189">
        <f t="shared" si="34"/>
        <v>0</v>
      </c>
    </row>
    <row r="143" spans="1:18" s="27" customFormat="1" ht="15.75" customHeight="1" x14ac:dyDescent="0.25">
      <c r="A143" s="127">
        <f t="shared" si="35"/>
        <v>114</v>
      </c>
      <c r="B143" s="46" t="s">
        <v>158</v>
      </c>
      <c r="C143" s="67">
        <f>C142</f>
        <v>23.873999999999999</v>
      </c>
      <c r="D143" s="67">
        <f>D142</f>
        <v>0</v>
      </c>
      <c r="E143" s="67">
        <f t="shared" si="24"/>
        <v>23.873999999999999</v>
      </c>
      <c r="F143" s="184">
        <f t="shared" si="31"/>
        <v>4.4200000000000003E-2</v>
      </c>
      <c r="G143" s="67">
        <f t="shared" si="25"/>
        <v>24.978028876333962</v>
      </c>
      <c r="H143" s="66"/>
      <c r="I143" s="67">
        <f>VLOOKUP(B143,'fixed cost'!$B$4:$R$116,17,0)</f>
        <v>0</v>
      </c>
      <c r="J143" s="66"/>
      <c r="K143" s="66"/>
      <c r="L143" s="66"/>
      <c r="M143" s="67">
        <f>VLOOKUP(B143,'fixed cost'!$B$4:$H$116,7,0)</f>
        <v>0.52960707387180206</v>
      </c>
      <c r="N143" s="66"/>
      <c r="O143" s="67">
        <f t="shared" si="32"/>
        <v>25.507635950205763</v>
      </c>
      <c r="P143" s="67">
        <v>23.873999999999999</v>
      </c>
      <c r="Q143" s="188">
        <f t="shared" si="33"/>
        <v>0</v>
      </c>
      <c r="R143" s="189">
        <f t="shared" si="34"/>
        <v>0</v>
      </c>
    </row>
    <row r="144" spans="1:18" s="119" customFormat="1" ht="15.75" customHeight="1" x14ac:dyDescent="0.25">
      <c r="A144" s="127">
        <f t="shared" si="35"/>
        <v>115</v>
      </c>
      <c r="B144" s="93" t="s">
        <v>159</v>
      </c>
      <c r="C144" s="94">
        <v>10.859</v>
      </c>
      <c r="D144" s="94"/>
      <c r="E144" s="94">
        <f t="shared" si="24"/>
        <v>10.859</v>
      </c>
      <c r="F144" s="173">
        <f t="shared" si="31"/>
        <v>4.4200000000000003E-2</v>
      </c>
      <c r="G144" s="94">
        <f t="shared" si="25"/>
        <v>11.361163423310316</v>
      </c>
      <c r="H144" s="92"/>
      <c r="I144" s="94">
        <f>VLOOKUP(B144,'fixed cost'!$B$4:$R$116,17,0)</f>
        <v>0</v>
      </c>
      <c r="J144" s="92"/>
      <c r="K144" s="92"/>
      <c r="L144" s="92"/>
      <c r="M144" s="92"/>
      <c r="N144" s="92"/>
      <c r="O144" s="94">
        <f t="shared" si="32"/>
        <v>11.361163423310316</v>
      </c>
      <c r="P144" s="94">
        <v>10.669</v>
      </c>
      <c r="Q144" s="188">
        <f t="shared" si="33"/>
        <v>0.1899999999999995</v>
      </c>
      <c r="R144" s="189">
        <f t="shared" si="34"/>
        <v>1.7808604367794498E-2</v>
      </c>
    </row>
    <row r="145" spans="1:18" s="27" customFormat="1" ht="15.75" customHeight="1" x14ac:dyDescent="0.25">
      <c r="A145" s="127">
        <f t="shared" si="35"/>
        <v>116</v>
      </c>
      <c r="B145" s="46" t="s">
        <v>159</v>
      </c>
      <c r="C145" s="67">
        <f>C144</f>
        <v>10.859</v>
      </c>
      <c r="D145" s="67">
        <f>D144</f>
        <v>0</v>
      </c>
      <c r="E145" s="67">
        <f t="shared" si="24"/>
        <v>10.859</v>
      </c>
      <c r="F145" s="184">
        <f t="shared" si="31"/>
        <v>4.4200000000000003E-2</v>
      </c>
      <c r="G145" s="67">
        <f t="shared" si="25"/>
        <v>11.361163423310316</v>
      </c>
      <c r="H145" s="66"/>
      <c r="I145" s="67">
        <f>VLOOKUP(B145,'fixed cost'!$B$4:$R$116,17,0)</f>
        <v>0</v>
      </c>
      <c r="J145" s="66"/>
      <c r="K145" s="66"/>
      <c r="L145" s="66"/>
      <c r="M145" s="67">
        <f>VLOOKUP(B145,'fixed cost'!$B$4:$H$116,7,0)</f>
        <v>0.52960707387180206</v>
      </c>
      <c r="N145" s="66"/>
      <c r="O145" s="67">
        <f t="shared" si="32"/>
        <v>11.890770497182118</v>
      </c>
      <c r="P145" s="67">
        <v>10.669</v>
      </c>
      <c r="Q145" s="188">
        <f t="shared" si="33"/>
        <v>0.1899999999999995</v>
      </c>
      <c r="R145" s="189">
        <f t="shared" si="34"/>
        <v>1.7808604367794498E-2</v>
      </c>
    </row>
    <row r="146" spans="1:18" s="27" customFormat="1" ht="15.75" customHeight="1" x14ac:dyDescent="0.25">
      <c r="A146" s="127">
        <f t="shared" si="35"/>
        <v>117</v>
      </c>
      <c r="B146" s="93" t="s">
        <v>177</v>
      </c>
      <c r="C146" s="94">
        <v>11.683</v>
      </c>
      <c r="D146" s="94"/>
      <c r="E146" s="94">
        <f t="shared" si="24"/>
        <v>11.683</v>
      </c>
      <c r="F146" s="173">
        <f t="shared" si="31"/>
        <v>4.4200000000000003E-2</v>
      </c>
      <c r="G146" s="94">
        <f t="shared" si="25"/>
        <v>12.223268466206319</v>
      </c>
      <c r="H146" s="92"/>
      <c r="I146" s="94">
        <f>VLOOKUP(B146,'fixed cost'!$B$4:$R$116,17,0)</f>
        <v>0</v>
      </c>
      <c r="J146" s="92"/>
      <c r="K146" s="92"/>
      <c r="L146" s="92"/>
      <c r="M146" s="92"/>
      <c r="N146" s="92"/>
      <c r="O146" s="94">
        <f t="shared" si="32"/>
        <v>12.223268466206319</v>
      </c>
      <c r="P146" s="94">
        <v>9.0950000000000006</v>
      </c>
      <c r="Q146" s="188">
        <f t="shared" si="33"/>
        <v>2.5879999999999992</v>
      </c>
      <c r="R146" s="189">
        <f t="shared" si="34"/>
        <v>0.28455195162177011</v>
      </c>
    </row>
    <row r="147" spans="1:18" s="27" customFormat="1" ht="15.75" customHeight="1" x14ac:dyDescent="0.25">
      <c r="A147" s="127">
        <f t="shared" si="35"/>
        <v>118</v>
      </c>
      <c r="B147" s="46" t="s">
        <v>177</v>
      </c>
      <c r="C147" s="67">
        <f>C146</f>
        <v>11.683</v>
      </c>
      <c r="D147" s="67">
        <f>D146</f>
        <v>0</v>
      </c>
      <c r="E147" s="67">
        <f t="shared" si="24"/>
        <v>11.683</v>
      </c>
      <c r="F147" s="184">
        <f t="shared" si="31"/>
        <v>4.4200000000000003E-2</v>
      </c>
      <c r="G147" s="67">
        <f t="shared" si="25"/>
        <v>12.223268466206319</v>
      </c>
      <c r="H147" s="66"/>
      <c r="I147" s="67">
        <f>VLOOKUP(B147,'fixed cost'!$B$4:$R$116,17,0)</f>
        <v>0</v>
      </c>
      <c r="J147" s="66"/>
      <c r="K147" s="66"/>
      <c r="L147" s="66"/>
      <c r="M147" s="67">
        <f>VLOOKUP(B147,'fixed cost'!$B$4:$H$116,7,0)</f>
        <v>0.52960707387180206</v>
      </c>
      <c r="N147" s="66"/>
      <c r="O147" s="67">
        <f t="shared" si="32"/>
        <v>12.75287554007812</v>
      </c>
      <c r="P147" s="67">
        <v>9.0950000000000006</v>
      </c>
      <c r="Q147" s="188">
        <f t="shared" si="33"/>
        <v>2.5879999999999992</v>
      </c>
      <c r="R147" s="189">
        <f t="shared" si="34"/>
        <v>0.28455195162177011</v>
      </c>
    </row>
    <row r="148" spans="1:18" s="119" customFormat="1" ht="15.75" customHeight="1" x14ac:dyDescent="0.25">
      <c r="A148" s="127">
        <f t="shared" si="35"/>
        <v>119</v>
      </c>
      <c r="B148" s="97" t="s">
        <v>142</v>
      </c>
      <c r="C148" s="98">
        <v>1.28</v>
      </c>
      <c r="D148" s="98"/>
      <c r="E148" s="98">
        <f t="shared" si="24"/>
        <v>1.28</v>
      </c>
      <c r="F148" s="172">
        <f t="shared" si="31"/>
        <v>4.4200000000000003E-2</v>
      </c>
      <c r="G148" s="98">
        <f t="shared" si="25"/>
        <v>1.3391922996442771</v>
      </c>
      <c r="H148" s="96"/>
      <c r="I148" s="98">
        <f>VLOOKUP(B148,'fixed cost'!$B$4:$R$116,17,0)</f>
        <v>0</v>
      </c>
      <c r="J148" s="96"/>
      <c r="K148" s="96"/>
      <c r="L148" s="96"/>
      <c r="M148" s="96"/>
      <c r="N148" s="96"/>
      <c r="O148" s="98">
        <f t="shared" si="32"/>
        <v>1.3391922996442771</v>
      </c>
      <c r="P148" s="98">
        <v>1.28</v>
      </c>
      <c r="Q148" s="188">
        <f t="shared" si="33"/>
        <v>0</v>
      </c>
      <c r="R148" s="189">
        <f t="shared" si="34"/>
        <v>0</v>
      </c>
    </row>
    <row r="149" spans="1:18" s="119" customFormat="1" ht="15.75" customHeight="1" x14ac:dyDescent="0.25">
      <c r="A149" s="127">
        <f t="shared" si="35"/>
        <v>120</v>
      </c>
      <c r="B149" s="97" t="s">
        <v>140</v>
      </c>
      <c r="C149" s="98">
        <v>2.3279999999999998</v>
      </c>
      <c r="D149" s="98"/>
      <c r="E149" s="98">
        <f t="shared" si="24"/>
        <v>2.3279999999999998</v>
      </c>
      <c r="F149" s="172">
        <f t="shared" si="31"/>
        <v>4.4200000000000003E-2</v>
      </c>
      <c r="G149" s="98">
        <f t="shared" si="25"/>
        <v>2.4356559949780285</v>
      </c>
      <c r="H149" s="96"/>
      <c r="I149" s="98">
        <f>VLOOKUP(B149,'fixed cost'!$B$4:$R$116,17,0)</f>
        <v>0</v>
      </c>
      <c r="J149" s="96"/>
      <c r="K149" s="96"/>
      <c r="L149" s="96"/>
      <c r="M149" s="96"/>
      <c r="N149" s="96"/>
      <c r="O149" s="98">
        <f t="shared" si="32"/>
        <v>2.4356559949780285</v>
      </c>
      <c r="P149" s="98">
        <v>2.3279999999999998</v>
      </c>
      <c r="Q149" s="188">
        <f t="shared" si="33"/>
        <v>0</v>
      </c>
      <c r="R149" s="189">
        <f t="shared" si="34"/>
        <v>0</v>
      </c>
    </row>
    <row r="150" spans="1:18" ht="15.75" customHeight="1" x14ac:dyDescent="0.25">
      <c r="A150" s="127">
        <f t="shared" si="35"/>
        <v>121</v>
      </c>
      <c r="B150" s="4" t="s">
        <v>146</v>
      </c>
      <c r="C150" s="1">
        <v>4.1580000000000004</v>
      </c>
      <c r="D150" s="1">
        <v>3.1E-2</v>
      </c>
      <c r="E150" s="1">
        <f t="shared" si="24"/>
        <v>4.1890000000000001</v>
      </c>
      <c r="F150" s="7">
        <f t="shared" si="31"/>
        <v>4.4200000000000003E-2</v>
      </c>
      <c r="G150" s="1">
        <f t="shared" si="25"/>
        <v>4.382716049382716</v>
      </c>
      <c r="H150" s="2"/>
      <c r="I150" s="1">
        <f>VLOOKUP(B150,'fixed cost'!$B$4:$R$116,17,0)</f>
        <v>0</v>
      </c>
      <c r="J150" s="2"/>
      <c r="K150" s="2"/>
      <c r="L150" s="2">
        <v>6.5000000000000002E-2</v>
      </c>
      <c r="M150" s="2"/>
      <c r="N150" s="2"/>
      <c r="O150" s="1">
        <f t="shared" si="32"/>
        <v>4.4477160493827164</v>
      </c>
      <c r="P150" s="1">
        <v>4.101</v>
      </c>
      <c r="Q150" s="188">
        <f t="shared" si="33"/>
        <v>5.7000000000000384E-2</v>
      </c>
      <c r="R150" s="189">
        <f t="shared" si="34"/>
        <v>1.3899049012436085E-2</v>
      </c>
    </row>
    <row r="151" spans="1:18" s="119" customFormat="1" ht="15.75" customHeight="1" x14ac:dyDescent="0.25">
      <c r="A151" s="127">
        <f t="shared" si="35"/>
        <v>122</v>
      </c>
      <c r="B151" s="46" t="s">
        <v>146</v>
      </c>
      <c r="C151" s="67">
        <f>C150</f>
        <v>4.1580000000000004</v>
      </c>
      <c r="D151" s="67">
        <f>D150</f>
        <v>3.1E-2</v>
      </c>
      <c r="E151" s="67">
        <f t="shared" si="24"/>
        <v>4.1890000000000001</v>
      </c>
      <c r="F151" s="184">
        <f t="shared" si="31"/>
        <v>4.4200000000000003E-2</v>
      </c>
      <c r="G151" s="67">
        <f t="shared" si="25"/>
        <v>4.382716049382716</v>
      </c>
      <c r="H151" s="66"/>
      <c r="I151" s="67">
        <f>VLOOKUP(B151,'fixed cost'!$B$4:$R$116,17,0)</f>
        <v>0</v>
      </c>
      <c r="J151" s="66"/>
      <c r="K151" s="66"/>
      <c r="L151" s="66"/>
      <c r="M151" s="67">
        <f>VLOOKUP(B151,'fixed cost'!$B$4:$H$116,7,0)</f>
        <v>1.56</v>
      </c>
      <c r="N151" s="66"/>
      <c r="O151" s="67">
        <f t="shared" si="32"/>
        <v>5.9427160493827156</v>
      </c>
      <c r="P151" s="67">
        <v>4.101</v>
      </c>
      <c r="Q151" s="188">
        <f t="shared" si="33"/>
        <v>5.7000000000000384E-2</v>
      </c>
      <c r="R151" s="189">
        <f t="shared" si="34"/>
        <v>1.3899049012436085E-2</v>
      </c>
    </row>
    <row r="152" spans="1:18" s="119" customFormat="1" ht="15.75" customHeight="1" x14ac:dyDescent="0.25">
      <c r="A152" s="127">
        <f t="shared" si="35"/>
        <v>123</v>
      </c>
      <c r="B152" s="97" t="s">
        <v>164</v>
      </c>
      <c r="C152" s="98">
        <v>2.3879999999999999</v>
      </c>
      <c r="D152" s="98"/>
      <c r="E152" s="98">
        <f t="shared" si="24"/>
        <v>2.3879999999999999</v>
      </c>
      <c r="F152" s="172">
        <f t="shared" si="31"/>
        <v>4.4200000000000003E-2</v>
      </c>
      <c r="G152" s="98">
        <f t="shared" si="25"/>
        <v>2.4984306340238542</v>
      </c>
      <c r="H152" s="96"/>
      <c r="I152" s="98">
        <f>VLOOKUP(B152,'fixed cost'!$B$4:$R$116,17,0)</f>
        <v>0</v>
      </c>
      <c r="J152" s="96"/>
      <c r="K152" s="96"/>
      <c r="L152" s="96"/>
      <c r="M152" s="96"/>
      <c r="N152" s="96"/>
      <c r="O152" s="98">
        <f t="shared" si="32"/>
        <v>2.4984306340238542</v>
      </c>
      <c r="P152" s="98">
        <v>2.3879999999999999</v>
      </c>
      <c r="Q152" s="188">
        <f t="shared" si="33"/>
        <v>0</v>
      </c>
      <c r="R152" s="189">
        <f t="shared" si="34"/>
        <v>0</v>
      </c>
    </row>
    <row r="153" spans="1:18" s="119" customFormat="1" ht="15.75" customHeight="1" x14ac:dyDescent="0.25">
      <c r="A153" s="127">
        <f t="shared" si="35"/>
        <v>124</v>
      </c>
      <c r="B153" s="97" t="s">
        <v>148</v>
      </c>
      <c r="C153" s="98">
        <v>2.2250000000000001</v>
      </c>
      <c r="D153" s="98"/>
      <c r="E153" s="98">
        <f t="shared" si="24"/>
        <v>2.2250000000000001</v>
      </c>
      <c r="F153" s="172">
        <f t="shared" si="31"/>
        <v>4.4200000000000003E-2</v>
      </c>
      <c r="G153" s="98">
        <f t="shared" si="25"/>
        <v>2.3278928646160284</v>
      </c>
      <c r="H153" s="96"/>
      <c r="I153" s="98">
        <f>VLOOKUP(B153,'fixed cost'!$B$4:$R$116,17,0)</f>
        <v>0</v>
      </c>
      <c r="J153" s="96"/>
      <c r="K153" s="96"/>
      <c r="L153" s="96"/>
      <c r="M153" s="96"/>
      <c r="N153" s="96"/>
      <c r="O153" s="98">
        <f t="shared" si="32"/>
        <v>2.3278928646160284</v>
      </c>
      <c r="P153" s="98">
        <v>2.2250000000000001</v>
      </c>
      <c r="Q153" s="188">
        <f t="shared" si="33"/>
        <v>0</v>
      </c>
      <c r="R153" s="189">
        <f t="shared" si="34"/>
        <v>0</v>
      </c>
    </row>
    <row r="154" spans="1:18" s="95" customFormat="1" ht="15.75" customHeight="1" x14ac:dyDescent="0.25">
      <c r="A154" s="127">
        <f t="shared" si="35"/>
        <v>125</v>
      </c>
      <c r="B154" s="97" t="s">
        <v>147</v>
      </c>
      <c r="C154" s="98">
        <v>2.95</v>
      </c>
      <c r="D154" s="98"/>
      <c r="E154" s="98">
        <f t="shared" si="24"/>
        <v>2.95</v>
      </c>
      <c r="F154" s="172">
        <f t="shared" si="31"/>
        <v>4.4200000000000003E-2</v>
      </c>
      <c r="G154" s="98">
        <f t="shared" si="25"/>
        <v>3.0864197530864201</v>
      </c>
      <c r="H154" s="96"/>
      <c r="I154" s="98">
        <f>VLOOKUP(B154,'fixed cost'!$B$4:$R$116,17,0)</f>
        <v>0</v>
      </c>
      <c r="J154" s="96"/>
      <c r="K154" s="96"/>
      <c r="L154" s="96"/>
      <c r="M154" s="96"/>
      <c r="N154" s="96"/>
      <c r="O154" s="98">
        <f t="shared" si="32"/>
        <v>3.0864197530864201</v>
      </c>
      <c r="P154" s="98">
        <v>2.95</v>
      </c>
      <c r="Q154" s="188">
        <f t="shared" si="33"/>
        <v>0</v>
      </c>
      <c r="R154" s="189">
        <f t="shared" si="34"/>
        <v>0</v>
      </c>
    </row>
    <row r="155" spans="1:18" s="95" customFormat="1" ht="15.75" customHeight="1" x14ac:dyDescent="0.25">
      <c r="A155" s="127">
        <f t="shared" si="35"/>
        <v>126</v>
      </c>
      <c r="B155" s="4" t="s">
        <v>168</v>
      </c>
      <c r="C155" s="1">
        <v>2.9660000000000002</v>
      </c>
      <c r="D155" s="1">
        <v>-8.9999999999999993E-3</v>
      </c>
      <c r="E155" s="1">
        <f t="shared" si="24"/>
        <v>2.9570000000000003</v>
      </c>
      <c r="F155" s="7">
        <f t="shared" si="31"/>
        <v>4.4200000000000003E-2</v>
      </c>
      <c r="G155" s="1">
        <f t="shared" si="25"/>
        <v>3.0937434609750998</v>
      </c>
      <c r="H155" s="2"/>
      <c r="I155" s="1">
        <f>VLOOKUP(B155,'fixed cost'!$B$4:$R$116,17,0)</f>
        <v>0</v>
      </c>
      <c r="J155" s="2"/>
      <c r="K155" s="2"/>
      <c r="L155" s="2"/>
      <c r="M155" s="2"/>
      <c r="N155" s="2"/>
      <c r="O155" s="1">
        <f t="shared" si="32"/>
        <v>3.0937434609750998</v>
      </c>
      <c r="P155" s="1">
        <v>3.0329999999999999</v>
      </c>
      <c r="Q155" s="188">
        <f t="shared" si="33"/>
        <v>-6.6999999999999726E-2</v>
      </c>
      <c r="R155" s="189">
        <f t="shared" si="34"/>
        <v>-2.2090339597757906E-2</v>
      </c>
    </row>
    <row r="156" spans="1:18" s="27" customFormat="1" ht="15.75" customHeight="1" x14ac:dyDescent="0.25">
      <c r="A156" s="127">
        <f t="shared" si="35"/>
        <v>127</v>
      </c>
      <c r="B156" s="46" t="s">
        <v>168</v>
      </c>
      <c r="C156" s="67">
        <f>C155</f>
        <v>2.9660000000000002</v>
      </c>
      <c r="D156" s="67">
        <v>0</v>
      </c>
      <c r="E156" s="67">
        <f t="shared" si="24"/>
        <v>2.9660000000000002</v>
      </c>
      <c r="F156" s="184">
        <f t="shared" si="31"/>
        <v>4.4200000000000003E-2</v>
      </c>
      <c r="G156" s="67">
        <f t="shared" si="25"/>
        <v>3.1031596568319735</v>
      </c>
      <c r="H156" s="66"/>
      <c r="I156" s="67">
        <f>VLOOKUP(B156,'fixed cost'!$B$4:$R$116,17,0)</f>
        <v>0</v>
      </c>
      <c r="J156" s="66"/>
      <c r="K156" s="66"/>
      <c r="L156" s="66"/>
      <c r="M156" s="67">
        <f>VLOOKUP(B156,'fixed cost'!$B$4:$H$116,7,0)</f>
        <v>2.2494752521182821</v>
      </c>
      <c r="N156" s="66"/>
      <c r="O156" s="67">
        <f t="shared" si="32"/>
        <v>5.3526349089502556</v>
      </c>
      <c r="P156" s="67">
        <v>3.0329999999999999</v>
      </c>
      <c r="Q156" s="188">
        <f t="shared" si="33"/>
        <v>-6.6999999999999726E-2</v>
      </c>
      <c r="R156" s="189">
        <f t="shared" si="34"/>
        <v>-2.2090339597757906E-2</v>
      </c>
    </row>
    <row r="157" spans="1:18" s="95" customFormat="1" ht="15.75" customHeight="1" x14ac:dyDescent="0.25">
      <c r="A157" s="127">
        <f t="shared" si="35"/>
        <v>128</v>
      </c>
      <c r="B157" s="97" t="s">
        <v>138</v>
      </c>
      <c r="C157" s="98">
        <v>1.2030000000000001</v>
      </c>
      <c r="D157" s="98"/>
      <c r="E157" s="98">
        <f t="shared" si="24"/>
        <v>1.2030000000000001</v>
      </c>
      <c r="F157" s="172">
        <f t="shared" si="31"/>
        <v>4.4200000000000003E-2</v>
      </c>
      <c r="G157" s="98">
        <f t="shared" si="25"/>
        <v>1.258631512868801</v>
      </c>
      <c r="H157" s="96"/>
      <c r="I157" s="98">
        <f>VLOOKUP(B157,'fixed cost'!$B$4:$R$116,17,0)</f>
        <v>0</v>
      </c>
      <c r="J157" s="96"/>
      <c r="K157" s="96"/>
      <c r="L157" s="96"/>
      <c r="M157" s="96"/>
      <c r="N157" s="96"/>
      <c r="O157" s="98">
        <f t="shared" si="32"/>
        <v>1.258631512868801</v>
      </c>
      <c r="P157" s="98">
        <v>1.2030000000000001</v>
      </c>
      <c r="Q157" s="188">
        <f t="shared" si="33"/>
        <v>0</v>
      </c>
      <c r="R157" s="189">
        <f t="shared" si="34"/>
        <v>0</v>
      </c>
    </row>
    <row r="158" spans="1:18" ht="15.75" customHeight="1" x14ac:dyDescent="0.25">
      <c r="A158" s="127">
        <f t="shared" si="35"/>
        <v>129</v>
      </c>
      <c r="B158" s="4" t="s">
        <v>150</v>
      </c>
      <c r="C158" s="1">
        <v>3.72</v>
      </c>
      <c r="D158" s="1">
        <v>0.16500000000000001</v>
      </c>
      <c r="E158" s="1">
        <f t="shared" si="24"/>
        <v>3.8850000000000002</v>
      </c>
      <c r="F158" s="7">
        <f t="shared" si="31"/>
        <v>4.4200000000000003E-2</v>
      </c>
      <c r="G158" s="1">
        <f t="shared" si="25"/>
        <v>4.0646578782172007</v>
      </c>
      <c r="H158" s="2"/>
      <c r="I158" s="1">
        <f>VLOOKUP(B158,'fixed cost'!$B$4:$R$116,17,0)</f>
        <v>0</v>
      </c>
      <c r="J158" s="2"/>
      <c r="K158" s="2"/>
      <c r="L158" s="1">
        <v>0.06</v>
      </c>
      <c r="M158" s="2"/>
      <c r="N158" s="2"/>
      <c r="O158" s="1">
        <f t="shared" si="32"/>
        <v>4.1246578782172003</v>
      </c>
      <c r="P158" s="213">
        <v>3.5249999999999999</v>
      </c>
      <c r="Q158" s="188">
        <f t="shared" si="33"/>
        <v>0.19500000000000028</v>
      </c>
      <c r="R158" s="189">
        <f t="shared" si="34"/>
        <v>5.5319148936170293E-2</v>
      </c>
    </row>
    <row r="159" spans="1:18" s="95" customFormat="1" ht="15.75" customHeight="1" x14ac:dyDescent="0.25">
      <c r="A159" s="127">
        <f t="shared" si="35"/>
        <v>130</v>
      </c>
      <c r="B159" s="126" t="s">
        <v>150</v>
      </c>
      <c r="C159" s="67">
        <f>C158</f>
        <v>3.72</v>
      </c>
      <c r="D159" s="67">
        <f>D158</f>
        <v>0.16500000000000001</v>
      </c>
      <c r="E159" s="67">
        <f t="shared" si="24"/>
        <v>3.8850000000000002</v>
      </c>
      <c r="F159" s="184">
        <f t="shared" si="31"/>
        <v>4.4200000000000003E-2</v>
      </c>
      <c r="G159" s="67">
        <f t="shared" si="25"/>
        <v>4.0646578782172007</v>
      </c>
      <c r="H159" s="66"/>
      <c r="I159" s="67">
        <f>VLOOKUP(B159,'fixed cost'!$B$4:$R$116,17,0)</f>
        <v>0</v>
      </c>
      <c r="J159" s="66"/>
      <c r="K159" s="66"/>
      <c r="L159" s="67">
        <f>L158</f>
        <v>0.06</v>
      </c>
      <c r="M159" s="67">
        <f>VLOOKUP(B159,'fixed cost'!$B$4:$H$116,7,0)</f>
        <v>0.65153793249911163</v>
      </c>
      <c r="N159" s="66"/>
      <c r="O159" s="67">
        <f t="shared" si="32"/>
        <v>4.7761958107163123</v>
      </c>
      <c r="P159" s="67">
        <v>3.5249999999999999</v>
      </c>
      <c r="Q159" s="188">
        <f t="shared" si="33"/>
        <v>0.19500000000000028</v>
      </c>
      <c r="R159" s="189">
        <f t="shared" si="34"/>
        <v>5.5319148936170293E-2</v>
      </c>
    </row>
    <row r="160" spans="1:18" s="95" customFormat="1" ht="15.75" customHeight="1" x14ac:dyDescent="0.25">
      <c r="A160" s="127">
        <f t="shared" si="35"/>
        <v>131</v>
      </c>
      <c r="B160" s="97" t="s">
        <v>141</v>
      </c>
      <c r="C160" s="98">
        <v>1.3620000000000001</v>
      </c>
      <c r="D160" s="98"/>
      <c r="E160" s="98">
        <f t="shared" si="24"/>
        <v>1.3620000000000001</v>
      </c>
      <c r="F160" s="172">
        <f t="shared" si="31"/>
        <v>4.4200000000000003E-2</v>
      </c>
      <c r="G160" s="98">
        <f t="shared" si="25"/>
        <v>1.4249843063402388</v>
      </c>
      <c r="H160" s="96"/>
      <c r="I160" s="98">
        <f>VLOOKUP(B160,'fixed cost'!$B$4:$R$116,17,0)</f>
        <v>0</v>
      </c>
      <c r="J160" s="96"/>
      <c r="K160" s="96"/>
      <c r="L160" s="96"/>
      <c r="M160" s="96"/>
      <c r="N160" s="96"/>
      <c r="O160" s="98">
        <f t="shared" si="32"/>
        <v>1.4249843063402388</v>
      </c>
      <c r="P160" s="98">
        <v>1.3620000000000001</v>
      </c>
      <c r="Q160" s="188">
        <f t="shared" si="33"/>
        <v>0</v>
      </c>
      <c r="R160" s="189">
        <f t="shared" si="34"/>
        <v>0</v>
      </c>
    </row>
    <row r="161" spans="1:18" s="95" customFormat="1" ht="15.75" customHeight="1" x14ac:dyDescent="0.25">
      <c r="A161" s="127">
        <f t="shared" si="35"/>
        <v>132</v>
      </c>
      <c r="B161" s="97" t="s">
        <v>137</v>
      </c>
      <c r="C161" s="98">
        <v>2.081</v>
      </c>
      <c r="D161" s="98"/>
      <c r="E161" s="98">
        <f t="shared" si="24"/>
        <v>2.081</v>
      </c>
      <c r="F161" s="172">
        <f t="shared" si="31"/>
        <v>4.4200000000000003E-2</v>
      </c>
      <c r="G161" s="98">
        <f t="shared" si="25"/>
        <v>2.1772337309060474</v>
      </c>
      <c r="H161" s="96"/>
      <c r="I161" s="98">
        <f>VLOOKUP(B161,'fixed cost'!$B$4:$R$116,17,0)</f>
        <v>0</v>
      </c>
      <c r="J161" s="96"/>
      <c r="K161" s="96"/>
      <c r="L161" s="96"/>
      <c r="M161" s="96"/>
      <c r="N161" s="96"/>
      <c r="O161" s="98">
        <f t="shared" si="32"/>
        <v>2.1772337309060474</v>
      </c>
      <c r="P161" s="98">
        <v>2.081</v>
      </c>
      <c r="Q161" s="188">
        <f t="shared" si="33"/>
        <v>0</v>
      </c>
      <c r="R161" s="189">
        <f t="shared" si="34"/>
        <v>0</v>
      </c>
    </row>
    <row r="162" spans="1:18" s="119" customFormat="1" ht="15.75" customHeight="1" x14ac:dyDescent="0.25">
      <c r="A162" s="127">
        <f t="shared" si="35"/>
        <v>133</v>
      </c>
      <c r="B162" s="4" t="s">
        <v>129</v>
      </c>
      <c r="C162" s="1">
        <v>1.6339999999999999</v>
      </c>
      <c r="D162" s="1">
        <v>-3.9899999999999998E-2</v>
      </c>
      <c r="E162" s="1">
        <f t="shared" si="24"/>
        <v>1.5940999999999999</v>
      </c>
      <c r="F162" s="7">
        <f t="shared" si="31"/>
        <v>4.4200000000000003E-2</v>
      </c>
      <c r="G162" s="1">
        <f t="shared" si="25"/>
        <v>1.6678175350491733</v>
      </c>
      <c r="H162" s="2"/>
      <c r="I162" s="1">
        <f>VLOOKUP(B162,'fixed cost'!$B$4:$R$116,17,0)</f>
        <v>0</v>
      </c>
      <c r="J162" s="2"/>
      <c r="K162" s="2"/>
      <c r="L162" s="2"/>
      <c r="M162" s="2"/>
      <c r="N162" s="2"/>
      <c r="O162" s="1">
        <f t="shared" si="32"/>
        <v>1.6678175350491733</v>
      </c>
      <c r="P162">
        <v>1.7070000000000001</v>
      </c>
      <c r="Q162" s="188">
        <f t="shared" si="33"/>
        <v>-7.3000000000000176E-2</v>
      </c>
      <c r="R162" s="189">
        <f t="shared" si="34"/>
        <v>-4.2765084944346908E-2</v>
      </c>
    </row>
    <row r="163" spans="1:18" s="119" customFormat="1" ht="15.75" customHeight="1" x14ac:dyDescent="0.25">
      <c r="A163" s="127">
        <f t="shared" si="35"/>
        <v>134</v>
      </c>
      <c r="B163" s="46" t="s">
        <v>129</v>
      </c>
      <c r="C163" s="67">
        <f t="shared" ref="C163:D165" si="36">C162</f>
        <v>1.6339999999999999</v>
      </c>
      <c r="D163" s="67">
        <f t="shared" si="36"/>
        <v>-3.9899999999999998E-2</v>
      </c>
      <c r="E163" s="67">
        <f t="shared" si="24"/>
        <v>1.5940999999999999</v>
      </c>
      <c r="F163" s="184">
        <f t="shared" si="31"/>
        <v>4.4200000000000003E-2</v>
      </c>
      <c r="G163" s="67">
        <f t="shared" si="25"/>
        <v>1.6678175350491733</v>
      </c>
      <c r="H163" s="66"/>
      <c r="I163" s="67">
        <f>VLOOKUP(B163,'fixed cost'!$B$4:$R$116,17,0)</f>
        <v>0</v>
      </c>
      <c r="J163" s="66"/>
      <c r="K163" s="66"/>
      <c r="L163" s="66"/>
      <c r="M163" s="67">
        <f>VLOOKUP(B163,'fixed cost'!$B$4:$H$116,7,0)</f>
        <v>0.83038164640483936</v>
      </c>
      <c r="N163" s="66"/>
      <c r="O163" s="67">
        <f t="shared" si="32"/>
        <v>2.4981991814540128</v>
      </c>
      <c r="P163" s="67">
        <v>1.7070000000000001</v>
      </c>
      <c r="Q163" s="188">
        <f t="shared" si="33"/>
        <v>-7.3000000000000176E-2</v>
      </c>
      <c r="R163" s="189">
        <f t="shared" si="34"/>
        <v>-4.2765084944346908E-2</v>
      </c>
    </row>
    <row r="164" spans="1:18" s="182" customFormat="1" ht="15.75" customHeight="1" x14ac:dyDescent="0.25">
      <c r="A164" s="127">
        <f t="shared" si="35"/>
        <v>135</v>
      </c>
      <c r="B164" s="59" t="s">
        <v>129</v>
      </c>
      <c r="C164" s="60">
        <f t="shared" si="36"/>
        <v>1.6339999999999999</v>
      </c>
      <c r="D164" s="60">
        <f t="shared" si="36"/>
        <v>-3.9899999999999998E-2</v>
      </c>
      <c r="E164" s="60">
        <f t="shared" si="24"/>
        <v>1.5940999999999999</v>
      </c>
      <c r="F164" s="124">
        <f t="shared" si="31"/>
        <v>4.4200000000000003E-2</v>
      </c>
      <c r="G164" s="60">
        <f t="shared" si="25"/>
        <v>1.6678175350491733</v>
      </c>
      <c r="H164" s="58"/>
      <c r="I164" s="60">
        <f>VLOOKUP(B164,'fixed cost'!$B$4:$R$116,17,0)</f>
        <v>0</v>
      </c>
      <c r="J164" s="58"/>
      <c r="K164" s="58"/>
      <c r="L164" s="58"/>
      <c r="M164" s="125"/>
      <c r="N164" s="58">
        <v>0.55000000000000004</v>
      </c>
      <c r="O164" s="60">
        <f t="shared" si="32"/>
        <v>2.2178175350491731</v>
      </c>
      <c r="P164" s="60">
        <v>1.7070000000000001</v>
      </c>
      <c r="Q164" s="188">
        <f t="shared" si="33"/>
        <v>-7.3000000000000176E-2</v>
      </c>
      <c r="R164" s="189">
        <f t="shared" si="34"/>
        <v>-4.2765084944346908E-2</v>
      </c>
    </row>
    <row r="165" spans="1:18" s="182" customFormat="1" ht="15.75" customHeight="1" x14ac:dyDescent="0.25">
      <c r="A165" s="127">
        <f t="shared" si="35"/>
        <v>136</v>
      </c>
      <c r="B165" s="147" t="s">
        <v>129</v>
      </c>
      <c r="C165" s="148">
        <f t="shared" si="36"/>
        <v>1.6339999999999999</v>
      </c>
      <c r="D165" s="149">
        <f t="shared" si="36"/>
        <v>-3.9899999999999998E-2</v>
      </c>
      <c r="E165" s="148">
        <f>E164</f>
        <v>1.5940999999999999</v>
      </c>
      <c r="F165" s="150">
        <f t="shared" si="31"/>
        <v>4.4200000000000003E-2</v>
      </c>
      <c r="G165" s="148">
        <f>G164</f>
        <v>1.6678175350491733</v>
      </c>
      <c r="H165" s="146"/>
      <c r="I165" s="148">
        <f>VLOOKUP(B165,'fixed cost'!$B$4:$R$116,17,0)</f>
        <v>0</v>
      </c>
      <c r="J165" s="146"/>
      <c r="K165" s="146"/>
      <c r="L165" s="146"/>
      <c r="M165" s="146"/>
      <c r="N165" s="146">
        <v>0.75</v>
      </c>
      <c r="O165" s="148">
        <f t="shared" si="32"/>
        <v>2.4178175350491733</v>
      </c>
      <c r="P165" s="148">
        <v>1.7070000000000001</v>
      </c>
      <c r="Q165" s="188">
        <f t="shared" si="33"/>
        <v>-7.3000000000000176E-2</v>
      </c>
      <c r="R165" s="189">
        <f t="shared" si="34"/>
        <v>-4.2765084944346908E-2</v>
      </c>
    </row>
    <row r="166" spans="1:18" s="119" customFormat="1" ht="15.75" customHeight="1" x14ac:dyDescent="0.25">
      <c r="A166" s="127">
        <f t="shared" si="35"/>
        <v>137</v>
      </c>
      <c r="B166" s="4" t="s">
        <v>130</v>
      </c>
      <c r="C166" s="1">
        <v>1.621</v>
      </c>
      <c r="D166" s="1">
        <v>-3.9E-2</v>
      </c>
      <c r="E166" s="1">
        <f t="shared" ref="E166:E207" si="37">C166+D166</f>
        <v>1.5820000000000001</v>
      </c>
      <c r="F166" s="7">
        <f>F164</f>
        <v>4.4200000000000003E-2</v>
      </c>
      <c r="G166" s="1">
        <f t="shared" ref="G166:G207" si="38">E166/((100%-F166))</f>
        <v>1.6551579828415988</v>
      </c>
      <c r="H166" s="2"/>
      <c r="I166" s="1">
        <f>VLOOKUP(B166,'fixed cost'!$B$4:$R$116,17,0)</f>
        <v>0</v>
      </c>
      <c r="J166" s="2"/>
      <c r="K166" s="2"/>
      <c r="L166" s="2"/>
      <c r="M166" s="2"/>
      <c r="N166" s="2"/>
      <c r="O166" s="1">
        <f t="shared" si="32"/>
        <v>1.6551579828415988</v>
      </c>
      <c r="P166" s="213">
        <v>1.694</v>
      </c>
      <c r="Q166" s="188">
        <f t="shared" si="33"/>
        <v>-7.2999999999999954E-2</v>
      </c>
      <c r="R166" s="189">
        <f t="shared" si="34"/>
        <v>-4.309327036599761E-2</v>
      </c>
    </row>
    <row r="167" spans="1:18" s="119" customFormat="1" ht="15.75" customHeight="1" x14ac:dyDescent="0.25">
      <c r="A167" s="127">
        <f t="shared" si="35"/>
        <v>138</v>
      </c>
      <c r="B167" s="46" t="s">
        <v>130</v>
      </c>
      <c r="C167" s="67">
        <f>C166</f>
        <v>1.621</v>
      </c>
      <c r="D167" s="67">
        <f>D166</f>
        <v>-3.9E-2</v>
      </c>
      <c r="E167" s="67">
        <f t="shared" si="37"/>
        <v>1.5820000000000001</v>
      </c>
      <c r="F167" s="184">
        <f t="shared" ref="F167:F178" si="39">F166</f>
        <v>4.4200000000000003E-2</v>
      </c>
      <c r="G167" s="67">
        <f t="shared" si="38"/>
        <v>1.6551579828415988</v>
      </c>
      <c r="H167" s="66"/>
      <c r="I167" s="67">
        <f>VLOOKUP(B167,'fixed cost'!$B$4:$R$116,17,0)</f>
        <v>0</v>
      </c>
      <c r="J167" s="66"/>
      <c r="K167" s="66"/>
      <c r="L167" s="66"/>
      <c r="M167" s="67">
        <f>VLOOKUP(B167,'fixed cost'!$B$4:$H$116,7,0)</f>
        <v>0.77934853313441221</v>
      </c>
      <c r="N167" s="66"/>
      <c r="O167" s="67">
        <f t="shared" si="32"/>
        <v>2.4345065159760111</v>
      </c>
      <c r="P167" s="67">
        <v>1.694</v>
      </c>
      <c r="Q167" s="188">
        <f t="shared" si="33"/>
        <v>-7.2999999999999954E-2</v>
      </c>
      <c r="R167" s="189">
        <f t="shared" si="34"/>
        <v>-4.309327036599761E-2</v>
      </c>
    </row>
    <row r="168" spans="1:18" s="61" customFormat="1" ht="15.75" customHeight="1" x14ac:dyDescent="0.25">
      <c r="A168" s="127">
        <f t="shared" si="35"/>
        <v>139</v>
      </c>
      <c r="B168" s="59" t="s">
        <v>130</v>
      </c>
      <c r="C168" s="60">
        <f>C166</f>
        <v>1.621</v>
      </c>
      <c r="D168" s="60">
        <f>D167</f>
        <v>-3.9E-2</v>
      </c>
      <c r="E168" s="60">
        <f t="shared" si="37"/>
        <v>1.5820000000000001</v>
      </c>
      <c r="F168" s="124">
        <f t="shared" si="39"/>
        <v>4.4200000000000003E-2</v>
      </c>
      <c r="G168" s="60">
        <f t="shared" si="38"/>
        <v>1.6551579828415988</v>
      </c>
      <c r="H168" s="58"/>
      <c r="I168" s="60">
        <f>VLOOKUP(B168,'fixed cost'!$B$4:$R$116,17,0)</f>
        <v>0</v>
      </c>
      <c r="J168" s="58"/>
      <c r="K168" s="58"/>
      <c r="L168" s="58"/>
      <c r="M168" s="58"/>
      <c r="N168" s="58">
        <v>0.55000000000000004</v>
      </c>
      <c r="O168" s="60">
        <f t="shared" si="32"/>
        <v>2.205157982841599</v>
      </c>
      <c r="P168" s="60">
        <v>1.694</v>
      </c>
      <c r="Q168" s="188">
        <f t="shared" si="33"/>
        <v>-7.2999999999999954E-2</v>
      </c>
      <c r="R168" s="189">
        <f t="shared" si="34"/>
        <v>-4.309327036599761E-2</v>
      </c>
    </row>
    <row r="169" spans="1:18" s="61" customFormat="1" ht="15.75" customHeight="1" x14ac:dyDescent="0.25">
      <c r="A169" s="127">
        <f t="shared" si="35"/>
        <v>140</v>
      </c>
      <c r="B169" s="147" t="s">
        <v>130</v>
      </c>
      <c r="C169" s="148">
        <f>C167</f>
        <v>1.621</v>
      </c>
      <c r="D169" s="148">
        <f>D168</f>
        <v>-3.9E-2</v>
      </c>
      <c r="E169" s="148">
        <f t="shared" si="37"/>
        <v>1.5820000000000001</v>
      </c>
      <c r="F169" s="150">
        <f t="shared" si="39"/>
        <v>4.4200000000000003E-2</v>
      </c>
      <c r="G169" s="148">
        <f t="shared" si="38"/>
        <v>1.6551579828415988</v>
      </c>
      <c r="H169" s="146"/>
      <c r="I169" s="148">
        <f>VLOOKUP(B169,'fixed cost'!$B$4:$R$116,17,0)</f>
        <v>0</v>
      </c>
      <c r="J169" s="146"/>
      <c r="K169" s="146"/>
      <c r="L169" s="146"/>
      <c r="M169" s="146"/>
      <c r="N169" s="146">
        <v>0.75</v>
      </c>
      <c r="O169" s="148">
        <f t="shared" si="32"/>
        <v>2.4051579828415988</v>
      </c>
      <c r="P169" s="148">
        <v>1.694</v>
      </c>
      <c r="Q169" s="188">
        <f t="shared" si="33"/>
        <v>-7.2999999999999954E-2</v>
      </c>
      <c r="R169" s="189">
        <f t="shared" si="34"/>
        <v>-4.309327036599761E-2</v>
      </c>
    </row>
    <row r="170" spans="1:18" s="119" customFormat="1" ht="15.75" customHeight="1" x14ac:dyDescent="0.25">
      <c r="A170" s="127">
        <f t="shared" si="35"/>
        <v>141</v>
      </c>
      <c r="B170" s="4" t="s">
        <v>131</v>
      </c>
      <c r="C170" s="214">
        <v>1.603</v>
      </c>
      <c r="D170" s="1">
        <v>-4.2000000000000003E-2</v>
      </c>
      <c r="E170" s="1">
        <f t="shared" si="37"/>
        <v>1.5609999999999999</v>
      </c>
      <c r="F170" s="7">
        <f t="shared" si="39"/>
        <v>4.4200000000000003E-2</v>
      </c>
      <c r="G170" s="1">
        <f t="shared" si="38"/>
        <v>1.6331868591755596</v>
      </c>
      <c r="H170" s="2"/>
      <c r="I170" s="1">
        <f>VLOOKUP(B170,'fixed cost'!$B$4:$R$116,17,0)</f>
        <v>0</v>
      </c>
      <c r="J170" s="2"/>
      <c r="K170" s="2"/>
      <c r="L170" s="2"/>
      <c r="M170" s="2"/>
      <c r="N170" s="2"/>
      <c r="O170" s="1">
        <f t="shared" si="32"/>
        <v>1.6331868591755596</v>
      </c>
      <c r="P170" s="213">
        <v>1.675</v>
      </c>
      <c r="Q170" s="188">
        <f t="shared" si="33"/>
        <v>-7.2000000000000064E-2</v>
      </c>
      <c r="R170" s="189">
        <f t="shared" si="34"/>
        <v>-4.298507462686571E-2</v>
      </c>
    </row>
    <row r="171" spans="1:18" s="119" customFormat="1" ht="15.75" customHeight="1" x14ac:dyDescent="0.25">
      <c r="A171" s="127">
        <f t="shared" si="35"/>
        <v>142</v>
      </c>
      <c r="B171" s="46" t="s">
        <v>131</v>
      </c>
      <c r="C171" s="67">
        <f t="shared" ref="C171:D173" si="40">C170</f>
        <v>1.603</v>
      </c>
      <c r="D171" s="67">
        <f t="shared" si="40"/>
        <v>-4.2000000000000003E-2</v>
      </c>
      <c r="E171" s="67">
        <f t="shared" si="37"/>
        <v>1.5609999999999999</v>
      </c>
      <c r="F171" s="184">
        <f t="shared" si="39"/>
        <v>4.4200000000000003E-2</v>
      </c>
      <c r="G171" s="67">
        <f t="shared" si="38"/>
        <v>1.6331868591755596</v>
      </c>
      <c r="H171" s="66"/>
      <c r="I171" s="67">
        <f>VLOOKUP(B171,'fixed cost'!$B$4:$R$116,17,0)</f>
        <v>0</v>
      </c>
      <c r="J171" s="66"/>
      <c r="K171" s="66"/>
      <c r="L171" s="66"/>
      <c r="M171" s="67">
        <f>VLOOKUP(B171,'fixed cost'!$B$4:$H$116,7,0)</f>
        <v>1.4694115224666227</v>
      </c>
      <c r="N171" s="66"/>
      <c r="O171" s="67">
        <f t="shared" si="32"/>
        <v>3.1025983816421823</v>
      </c>
      <c r="P171" s="67">
        <v>1.675</v>
      </c>
      <c r="Q171" s="188">
        <f t="shared" si="33"/>
        <v>-7.2000000000000064E-2</v>
      </c>
      <c r="R171" s="189">
        <f t="shared" si="34"/>
        <v>-4.298507462686571E-2</v>
      </c>
    </row>
    <row r="172" spans="1:18" s="182" customFormat="1" ht="15.75" customHeight="1" x14ac:dyDescent="0.25">
      <c r="A172" s="127">
        <f t="shared" si="35"/>
        <v>143</v>
      </c>
      <c r="B172" s="59" t="s">
        <v>131</v>
      </c>
      <c r="C172" s="60">
        <f t="shared" si="40"/>
        <v>1.603</v>
      </c>
      <c r="D172" s="60">
        <f t="shared" si="40"/>
        <v>-4.2000000000000003E-2</v>
      </c>
      <c r="E172" s="60">
        <f t="shared" si="37"/>
        <v>1.5609999999999999</v>
      </c>
      <c r="F172" s="124">
        <f t="shared" si="39"/>
        <v>4.4200000000000003E-2</v>
      </c>
      <c r="G172" s="60">
        <f t="shared" si="38"/>
        <v>1.6331868591755596</v>
      </c>
      <c r="H172" s="58"/>
      <c r="I172" s="60">
        <f>VLOOKUP(B172,'fixed cost'!$B$4:$R$116,17,0)</f>
        <v>0</v>
      </c>
      <c r="J172" s="58"/>
      <c r="K172" s="58"/>
      <c r="L172" s="58"/>
      <c r="M172" s="125"/>
      <c r="N172" s="58">
        <v>0.55000000000000004</v>
      </c>
      <c r="O172" s="60">
        <f t="shared" si="32"/>
        <v>2.1831868591755597</v>
      </c>
      <c r="P172" s="60">
        <v>1.675</v>
      </c>
      <c r="Q172" s="188">
        <f t="shared" si="33"/>
        <v>-7.2000000000000064E-2</v>
      </c>
      <c r="R172" s="189">
        <f t="shared" si="34"/>
        <v>-4.298507462686571E-2</v>
      </c>
    </row>
    <row r="173" spans="1:18" s="182" customFormat="1" ht="15.75" customHeight="1" x14ac:dyDescent="0.25">
      <c r="A173" s="127"/>
      <c r="B173" s="147" t="s">
        <v>131</v>
      </c>
      <c r="C173" s="148">
        <f t="shared" si="40"/>
        <v>1.603</v>
      </c>
      <c r="D173" s="149">
        <f t="shared" si="40"/>
        <v>-4.2000000000000003E-2</v>
      </c>
      <c r="E173" s="148">
        <f t="shared" si="37"/>
        <v>1.5609999999999999</v>
      </c>
      <c r="F173" s="150">
        <f t="shared" si="39"/>
        <v>4.4200000000000003E-2</v>
      </c>
      <c r="G173" s="148">
        <f t="shared" si="38"/>
        <v>1.6331868591755596</v>
      </c>
      <c r="H173" s="146"/>
      <c r="I173" s="148">
        <f>VLOOKUP(B173,'fixed cost'!$B$4:$R$116,17,0)</f>
        <v>0</v>
      </c>
      <c r="J173" s="146"/>
      <c r="K173" s="146"/>
      <c r="L173" s="146"/>
      <c r="M173" s="146"/>
      <c r="N173" s="146">
        <v>0.75</v>
      </c>
      <c r="O173" s="148">
        <f t="shared" si="32"/>
        <v>2.3831868591755594</v>
      </c>
      <c r="P173" s="148">
        <v>1.675</v>
      </c>
      <c r="Q173" s="188">
        <f t="shared" si="33"/>
        <v>-7.2000000000000064E-2</v>
      </c>
      <c r="R173" s="189">
        <f t="shared" si="34"/>
        <v>-4.298507462686571E-2</v>
      </c>
    </row>
    <row r="174" spans="1:18" s="119" customFormat="1" ht="15.75" customHeight="1" x14ac:dyDescent="0.25">
      <c r="A174" s="127">
        <f>A172+1</f>
        <v>144</v>
      </c>
      <c r="B174" s="97" t="s">
        <v>144</v>
      </c>
      <c r="C174" s="98">
        <v>2.206</v>
      </c>
      <c r="D174" s="98"/>
      <c r="E174" s="98">
        <f t="shared" si="37"/>
        <v>2.206</v>
      </c>
      <c r="F174" s="172">
        <f t="shared" si="39"/>
        <v>4.4200000000000003E-2</v>
      </c>
      <c r="G174" s="98">
        <f t="shared" si="38"/>
        <v>2.3080142289181835</v>
      </c>
      <c r="H174" s="96"/>
      <c r="I174" s="98">
        <f>VLOOKUP(B174,'fixed cost'!$B$4:$R$116,17,0)</f>
        <v>0</v>
      </c>
      <c r="J174" s="96"/>
      <c r="K174" s="96"/>
      <c r="L174" s="96"/>
      <c r="M174" s="96"/>
      <c r="N174" s="96"/>
      <c r="O174" s="98">
        <f t="shared" si="32"/>
        <v>2.3080142289181835</v>
      </c>
      <c r="P174" s="98">
        <v>2.206</v>
      </c>
      <c r="Q174" s="188">
        <f t="shared" si="33"/>
        <v>0</v>
      </c>
      <c r="R174" s="189">
        <f t="shared" si="34"/>
        <v>0</v>
      </c>
    </row>
    <row r="175" spans="1:18" s="119" customFormat="1" ht="15.75" customHeight="1" x14ac:dyDescent="0.25">
      <c r="A175" s="127">
        <f>A174+1</f>
        <v>145</v>
      </c>
      <c r="B175" s="4" t="s">
        <v>132</v>
      </c>
      <c r="C175" s="214">
        <v>1.974</v>
      </c>
      <c r="D175" s="1">
        <v>-1.29E-2</v>
      </c>
      <c r="E175" s="1">
        <f t="shared" si="37"/>
        <v>1.9611000000000001</v>
      </c>
      <c r="F175" s="7">
        <f t="shared" si="39"/>
        <v>4.4200000000000003E-2</v>
      </c>
      <c r="G175" s="1">
        <f t="shared" si="38"/>
        <v>2.0517890772128062</v>
      </c>
      <c r="H175" s="2"/>
      <c r="I175" s="1">
        <f>VLOOKUP(B175,'fixed cost'!$B$4:$R$116,17,0)</f>
        <v>0</v>
      </c>
      <c r="J175" s="2"/>
      <c r="K175" s="2"/>
      <c r="L175" s="214"/>
      <c r="M175" s="2"/>
      <c r="N175" s="2"/>
      <c r="O175" s="1">
        <f t="shared" si="32"/>
        <v>2.0517890772128062</v>
      </c>
      <c r="P175" s="213">
        <v>1.87</v>
      </c>
      <c r="Q175" s="188">
        <f t="shared" si="33"/>
        <v>0.10399999999999987</v>
      </c>
      <c r="R175" s="189">
        <f t="shared" si="34"/>
        <v>5.5614973262032012E-2</v>
      </c>
    </row>
    <row r="176" spans="1:18" s="119" customFormat="1" ht="15.75" customHeight="1" x14ac:dyDescent="0.25">
      <c r="A176" s="127">
        <f>A175+1</f>
        <v>146</v>
      </c>
      <c r="B176" s="46" t="s">
        <v>132</v>
      </c>
      <c r="C176" s="67">
        <f t="shared" ref="C176:D178" si="41">C175</f>
        <v>1.974</v>
      </c>
      <c r="D176" s="67">
        <f t="shared" si="41"/>
        <v>-1.29E-2</v>
      </c>
      <c r="E176" s="67">
        <f t="shared" si="37"/>
        <v>1.9611000000000001</v>
      </c>
      <c r="F176" s="184">
        <f t="shared" si="39"/>
        <v>4.4200000000000003E-2</v>
      </c>
      <c r="G176" s="67">
        <f t="shared" si="38"/>
        <v>2.0517890772128062</v>
      </c>
      <c r="H176" s="66"/>
      <c r="I176" s="67">
        <f>VLOOKUP(B176,'fixed cost'!$B$4:$R$116,17,0)</f>
        <v>0</v>
      </c>
      <c r="J176" s="66"/>
      <c r="K176" s="66"/>
      <c r="L176" s="66"/>
      <c r="M176" s="67">
        <f>VLOOKUP(B176,'fixed cost'!$B$4:$H$116,7,0)</f>
        <v>0.76384627104384095</v>
      </c>
      <c r="N176" s="66"/>
      <c r="O176" s="67">
        <f t="shared" si="32"/>
        <v>2.815635348256647</v>
      </c>
      <c r="P176" s="67">
        <v>1.87</v>
      </c>
      <c r="Q176" s="188">
        <f t="shared" si="33"/>
        <v>0.10399999999999987</v>
      </c>
      <c r="R176" s="189">
        <f t="shared" si="34"/>
        <v>5.5614973262032012E-2</v>
      </c>
    </row>
    <row r="177" spans="1:18" s="182" customFormat="1" ht="15.75" customHeight="1" x14ac:dyDescent="0.25">
      <c r="A177" s="127">
        <f>A176+1</f>
        <v>147</v>
      </c>
      <c r="B177" s="59" t="s">
        <v>132</v>
      </c>
      <c r="C177" s="60">
        <f t="shared" si="41"/>
        <v>1.974</v>
      </c>
      <c r="D177" s="60">
        <f t="shared" si="41"/>
        <v>-1.29E-2</v>
      </c>
      <c r="E177" s="60">
        <f t="shared" si="37"/>
        <v>1.9611000000000001</v>
      </c>
      <c r="F177" s="124">
        <f t="shared" si="39"/>
        <v>4.4200000000000003E-2</v>
      </c>
      <c r="G177" s="60">
        <f t="shared" si="38"/>
        <v>2.0517890772128062</v>
      </c>
      <c r="H177" s="58"/>
      <c r="I177" s="60">
        <f>VLOOKUP(B177,'fixed cost'!$B$4:$R$116,17,0)</f>
        <v>0</v>
      </c>
      <c r="J177" s="58"/>
      <c r="K177" s="58"/>
      <c r="L177" s="58"/>
      <c r="M177" s="125"/>
      <c r="N177" s="58">
        <v>0.55000000000000004</v>
      </c>
      <c r="O177" s="60">
        <f t="shared" si="32"/>
        <v>2.6017890772128061</v>
      </c>
      <c r="P177" s="60">
        <v>1.87</v>
      </c>
      <c r="Q177" s="188">
        <f t="shared" si="33"/>
        <v>0.10399999999999987</v>
      </c>
      <c r="R177" s="189">
        <f t="shared" si="34"/>
        <v>5.5614973262032012E-2</v>
      </c>
    </row>
    <row r="178" spans="1:18" s="182" customFormat="1" ht="15.75" customHeight="1" x14ac:dyDescent="0.25">
      <c r="A178" s="127">
        <f>A177+1</f>
        <v>148</v>
      </c>
      <c r="B178" s="147" t="s">
        <v>132</v>
      </c>
      <c r="C178" s="148">
        <f t="shared" si="41"/>
        <v>1.974</v>
      </c>
      <c r="D178" s="149">
        <f t="shared" si="41"/>
        <v>-1.29E-2</v>
      </c>
      <c r="E178" s="148">
        <f t="shared" si="37"/>
        <v>1.9611000000000001</v>
      </c>
      <c r="F178" s="150">
        <f t="shared" si="39"/>
        <v>4.4200000000000003E-2</v>
      </c>
      <c r="G178" s="148">
        <f t="shared" si="38"/>
        <v>2.0517890772128062</v>
      </c>
      <c r="H178" s="146"/>
      <c r="I178" s="148">
        <f>VLOOKUP(B178,'fixed cost'!$B$4:$R$116,17,0)</f>
        <v>0</v>
      </c>
      <c r="J178" s="146"/>
      <c r="K178" s="146"/>
      <c r="L178" s="146"/>
      <c r="M178" s="146"/>
      <c r="N178" s="146">
        <v>0.75</v>
      </c>
      <c r="O178" s="148">
        <f t="shared" si="32"/>
        <v>2.8017890772128062</v>
      </c>
      <c r="P178" s="148">
        <v>1.87</v>
      </c>
      <c r="Q178" s="188">
        <f t="shared" si="33"/>
        <v>0.10399999999999987</v>
      </c>
      <c r="R178" s="189">
        <f t="shared" si="34"/>
        <v>5.5614973262032012E-2</v>
      </c>
    </row>
    <row r="179" spans="1:18" s="65" customFormat="1" ht="15.75" customHeight="1" x14ac:dyDescent="0.25">
      <c r="A179" s="127">
        <f>A176+1</f>
        <v>147</v>
      </c>
      <c r="B179" s="63" t="s">
        <v>151</v>
      </c>
      <c r="C179" s="64">
        <v>5.04</v>
      </c>
      <c r="D179" s="64"/>
      <c r="E179" s="64">
        <f t="shared" si="37"/>
        <v>5.04</v>
      </c>
      <c r="F179" s="178">
        <f>F176</f>
        <v>4.4200000000000003E-2</v>
      </c>
      <c r="G179" s="64">
        <f t="shared" si="38"/>
        <v>5.2730696798493408</v>
      </c>
      <c r="H179" s="62"/>
      <c r="I179" s="64">
        <f>VLOOKUP(B179,'fixed cost'!$B$4:$R$116,17,0)</f>
        <v>0</v>
      </c>
      <c r="J179" s="62"/>
      <c r="K179" s="62"/>
      <c r="L179" s="62"/>
      <c r="M179" s="62"/>
      <c r="N179" s="62"/>
      <c r="O179" s="64">
        <f t="shared" si="32"/>
        <v>5.2730696798493408</v>
      </c>
      <c r="P179" s="64">
        <v>5.04</v>
      </c>
      <c r="Q179" s="188">
        <f t="shared" si="33"/>
        <v>0</v>
      </c>
      <c r="R179" s="189">
        <f t="shared" si="34"/>
        <v>0</v>
      </c>
    </row>
    <row r="180" spans="1:18" s="119" customFormat="1" ht="15.75" customHeight="1" x14ac:dyDescent="0.25">
      <c r="A180" s="127">
        <f>A179+1</f>
        <v>148</v>
      </c>
      <c r="B180" s="4" t="s">
        <v>245</v>
      </c>
      <c r="C180" s="214">
        <v>2.851</v>
      </c>
      <c r="D180" s="1">
        <v>6.3E-2</v>
      </c>
      <c r="E180" s="1">
        <f t="shared" si="37"/>
        <v>2.9140000000000001</v>
      </c>
      <c r="F180" s="7">
        <f>F179</f>
        <v>4.4200000000000003E-2</v>
      </c>
      <c r="G180" s="1">
        <f t="shared" si="38"/>
        <v>3.0487549696589245</v>
      </c>
      <c r="H180" s="2"/>
      <c r="I180" s="1">
        <f>VLOOKUP(B180,'fixed cost'!$B$4:$R$116,17,0)</f>
        <v>0</v>
      </c>
      <c r="J180" s="1"/>
      <c r="K180" s="1">
        <v>0.23258999999999999</v>
      </c>
      <c r="L180" s="1">
        <v>6.4000000000000001E-2</v>
      </c>
      <c r="M180" s="2"/>
      <c r="N180" s="2"/>
      <c r="O180" s="1">
        <f t="shared" si="32"/>
        <v>3.3453449696589246</v>
      </c>
      <c r="P180" s="213">
        <v>2.8330000000000002</v>
      </c>
      <c r="Q180" s="188">
        <f t="shared" si="33"/>
        <v>1.7999999999999794E-2</v>
      </c>
      <c r="R180" s="189">
        <f t="shared" si="34"/>
        <v>6.3536886692551336E-3</v>
      </c>
    </row>
    <row r="181" spans="1:18" s="119" customFormat="1" ht="15.75" customHeight="1" x14ac:dyDescent="0.25">
      <c r="A181" s="127">
        <f>A180+1</f>
        <v>149</v>
      </c>
      <c r="B181" s="46" t="s">
        <v>245</v>
      </c>
      <c r="C181" s="67">
        <f t="shared" ref="C181:D183" si="42">C180</f>
        <v>2.851</v>
      </c>
      <c r="D181" s="67">
        <f t="shared" si="42"/>
        <v>6.3E-2</v>
      </c>
      <c r="E181" s="67">
        <f t="shared" si="37"/>
        <v>2.9140000000000001</v>
      </c>
      <c r="F181" s="184">
        <f>F180</f>
        <v>4.4200000000000003E-2</v>
      </c>
      <c r="G181" s="67">
        <f t="shared" si="38"/>
        <v>3.0487549696589245</v>
      </c>
      <c r="H181" s="66"/>
      <c r="I181" s="67">
        <f>VLOOKUP(B181,'fixed cost'!$B$4:$R$116,17,0)</f>
        <v>0</v>
      </c>
      <c r="J181" s="67"/>
      <c r="K181" s="67">
        <f>K180</f>
        <v>0.23258999999999999</v>
      </c>
      <c r="L181" s="66"/>
      <c r="M181" s="67">
        <f>VLOOKUP(B181,'fixed cost'!$B$4:$H$116,7,0)</f>
        <v>1.7669774010626034</v>
      </c>
      <c r="N181" s="66"/>
      <c r="O181" s="67">
        <f t="shared" si="32"/>
        <v>5.0483223707215279</v>
      </c>
      <c r="P181" s="67">
        <v>2.8330000000000002</v>
      </c>
      <c r="Q181" s="188">
        <f t="shared" si="33"/>
        <v>1.7999999999999794E-2</v>
      </c>
      <c r="R181" s="189">
        <f t="shared" si="34"/>
        <v>6.3536886692551336E-3</v>
      </c>
    </row>
    <row r="182" spans="1:18" s="182" customFormat="1" ht="15.75" customHeight="1" x14ac:dyDescent="0.25">
      <c r="A182" s="127">
        <f>A181+1</f>
        <v>150</v>
      </c>
      <c r="B182" s="59" t="s">
        <v>245</v>
      </c>
      <c r="C182" s="60">
        <f t="shared" si="42"/>
        <v>2.851</v>
      </c>
      <c r="D182" s="60">
        <f t="shared" si="42"/>
        <v>6.3E-2</v>
      </c>
      <c r="E182" s="60">
        <f t="shared" si="37"/>
        <v>2.9140000000000001</v>
      </c>
      <c r="F182" s="124">
        <f>F181</f>
        <v>4.4200000000000003E-2</v>
      </c>
      <c r="G182" s="60">
        <f t="shared" si="38"/>
        <v>3.0487549696589245</v>
      </c>
      <c r="H182" s="58"/>
      <c r="I182" s="60">
        <f>VLOOKUP(B182,'fixed cost'!$B$4:$R$116,17,0)</f>
        <v>0</v>
      </c>
      <c r="J182" s="58"/>
      <c r="K182" s="60">
        <f>K181</f>
        <v>0.23258999999999999</v>
      </c>
      <c r="L182" s="58"/>
      <c r="M182" s="125"/>
      <c r="N182" s="58">
        <v>0.55000000000000004</v>
      </c>
      <c r="O182" s="60">
        <f t="shared" si="32"/>
        <v>3.8313449696589243</v>
      </c>
      <c r="P182" s="60">
        <v>2.8330000000000002</v>
      </c>
      <c r="Q182" s="188">
        <f t="shared" si="33"/>
        <v>1.7999999999999794E-2</v>
      </c>
      <c r="R182" s="189">
        <f t="shared" si="34"/>
        <v>6.3536886692551336E-3</v>
      </c>
    </row>
    <row r="183" spans="1:18" s="182" customFormat="1" ht="15.75" customHeight="1" x14ac:dyDescent="0.25">
      <c r="A183" s="127">
        <f>A182+1</f>
        <v>151</v>
      </c>
      <c r="B183" s="147" t="s">
        <v>245</v>
      </c>
      <c r="C183" s="148">
        <f t="shared" si="42"/>
        <v>2.851</v>
      </c>
      <c r="D183" s="149">
        <f t="shared" si="42"/>
        <v>6.3E-2</v>
      </c>
      <c r="E183" s="148">
        <f t="shared" si="37"/>
        <v>2.9140000000000001</v>
      </c>
      <c r="F183" s="150">
        <f>F182</f>
        <v>4.4200000000000003E-2</v>
      </c>
      <c r="G183" s="148">
        <f t="shared" si="38"/>
        <v>3.0487549696589245</v>
      </c>
      <c r="H183" s="146"/>
      <c r="I183" s="148">
        <f>VLOOKUP(B183,'fixed cost'!$B$4:$R$116,17,0)</f>
        <v>0</v>
      </c>
      <c r="J183" s="146"/>
      <c r="K183" s="148">
        <f>K182</f>
        <v>0.23258999999999999</v>
      </c>
      <c r="L183" s="146"/>
      <c r="M183" s="146"/>
      <c r="N183" s="146">
        <v>0.75</v>
      </c>
      <c r="O183" s="148">
        <f t="shared" si="32"/>
        <v>4.0313449696589245</v>
      </c>
      <c r="P183" s="148">
        <v>2.8330000000000002</v>
      </c>
      <c r="Q183" s="188">
        <f t="shared" si="33"/>
        <v>1.7999999999999794E-2</v>
      </c>
      <c r="R183" s="189">
        <f t="shared" si="34"/>
        <v>6.3536886692551336E-3</v>
      </c>
    </row>
    <row r="184" spans="1:18" s="119" customFormat="1" ht="15.75" customHeight="1" x14ac:dyDescent="0.25">
      <c r="A184" s="127">
        <f>A181+1</f>
        <v>150</v>
      </c>
      <c r="B184" s="97" t="s">
        <v>139</v>
      </c>
      <c r="C184" s="98">
        <v>2.1150000000000002</v>
      </c>
      <c r="D184" s="98"/>
      <c r="E184" s="98">
        <f t="shared" si="37"/>
        <v>2.1150000000000002</v>
      </c>
      <c r="F184" s="172">
        <f>F181</f>
        <v>4.4200000000000003E-2</v>
      </c>
      <c r="G184" s="98">
        <f t="shared" si="38"/>
        <v>2.2128060263653486</v>
      </c>
      <c r="H184" s="96"/>
      <c r="I184" s="98">
        <f>VLOOKUP(B184,'fixed cost'!$B$4:$R$116,17,0)</f>
        <v>0</v>
      </c>
      <c r="J184" s="96"/>
      <c r="K184" s="96"/>
      <c r="L184" s="96"/>
      <c r="M184" s="96"/>
      <c r="N184" s="96"/>
      <c r="O184" s="98">
        <f t="shared" si="32"/>
        <v>2.2128060263653486</v>
      </c>
      <c r="P184" s="98">
        <v>2.1150000000000002</v>
      </c>
      <c r="Q184" s="188">
        <f t="shared" si="33"/>
        <v>0</v>
      </c>
      <c r="R184" s="189">
        <f t="shared" si="34"/>
        <v>0</v>
      </c>
    </row>
    <row r="185" spans="1:18" s="119" customFormat="1" ht="15.75" customHeight="1" x14ac:dyDescent="0.25">
      <c r="A185" s="127">
        <f>A184+1</f>
        <v>151</v>
      </c>
      <c r="B185" s="4" t="s">
        <v>134</v>
      </c>
      <c r="C185" s="214">
        <v>3.35</v>
      </c>
      <c r="D185" s="1">
        <v>0.115</v>
      </c>
      <c r="E185" s="1">
        <f t="shared" si="37"/>
        <v>3.4650000000000003</v>
      </c>
      <c r="F185" s="7">
        <f>F184</f>
        <v>4.4200000000000003E-2</v>
      </c>
      <c r="G185" s="1">
        <f t="shared" si="38"/>
        <v>3.6252354048964222</v>
      </c>
      <c r="H185" s="2"/>
      <c r="I185" s="1">
        <f>VLOOKUP(B185,'fixed cost'!$B$4:$R$116,17,0)</f>
        <v>0</v>
      </c>
      <c r="J185" s="2"/>
      <c r="K185" s="2"/>
      <c r="L185" s="1">
        <v>7.3999999999999996E-2</v>
      </c>
      <c r="M185" s="2"/>
      <c r="N185" s="2"/>
      <c r="O185" s="1">
        <f t="shared" si="32"/>
        <v>3.699235404896422</v>
      </c>
      <c r="P185" s="213">
        <v>3.4780000000000002</v>
      </c>
      <c r="Q185" s="188">
        <f t="shared" si="33"/>
        <v>-0.12800000000000011</v>
      </c>
      <c r="R185" s="189">
        <f t="shared" si="34"/>
        <v>-3.6802760207015554E-2</v>
      </c>
    </row>
    <row r="186" spans="1:18" s="119" customFormat="1" ht="15.75" customHeight="1" x14ac:dyDescent="0.25">
      <c r="A186" s="127">
        <f>A185+1</f>
        <v>152</v>
      </c>
      <c r="B186" s="46" t="s">
        <v>134</v>
      </c>
      <c r="C186" s="67">
        <f t="shared" ref="C186:D188" si="43">C185</f>
        <v>3.35</v>
      </c>
      <c r="D186" s="67">
        <f t="shared" si="43"/>
        <v>0.115</v>
      </c>
      <c r="E186" s="67">
        <f t="shared" si="37"/>
        <v>3.4650000000000003</v>
      </c>
      <c r="F186" s="184">
        <f>F185</f>
        <v>4.4200000000000003E-2</v>
      </c>
      <c r="G186" s="67">
        <f t="shared" si="38"/>
        <v>3.6252354048964222</v>
      </c>
      <c r="H186" s="66"/>
      <c r="I186" s="67">
        <f>VLOOKUP(B186,'fixed cost'!$B$4:$R$116,17,0)</f>
        <v>0</v>
      </c>
      <c r="J186" s="66"/>
      <c r="K186" s="66"/>
      <c r="L186" s="66">
        <f>L185</f>
        <v>7.3999999999999996E-2</v>
      </c>
      <c r="M186" s="67">
        <f>VLOOKUP(B186,'fixed cost'!$B$4:$H$116,7,0)</f>
        <v>1.0459097583536401</v>
      </c>
      <c r="N186" s="66"/>
      <c r="O186" s="67">
        <f t="shared" si="32"/>
        <v>4.7451451632500623</v>
      </c>
      <c r="P186" s="67">
        <v>3.4780000000000002</v>
      </c>
      <c r="Q186" s="188">
        <f t="shared" si="33"/>
        <v>-0.12800000000000011</v>
      </c>
      <c r="R186" s="189">
        <f t="shared" si="34"/>
        <v>-3.6802760207015554E-2</v>
      </c>
    </row>
    <row r="187" spans="1:18" s="182" customFormat="1" ht="15.75" customHeight="1" x14ac:dyDescent="0.25">
      <c r="A187" s="127">
        <f>A186+1</f>
        <v>153</v>
      </c>
      <c r="B187" s="59" t="s">
        <v>134</v>
      </c>
      <c r="C187" s="60">
        <f t="shared" si="43"/>
        <v>3.35</v>
      </c>
      <c r="D187" s="60">
        <f t="shared" si="43"/>
        <v>0.115</v>
      </c>
      <c r="E187" s="60">
        <f t="shared" si="37"/>
        <v>3.4650000000000003</v>
      </c>
      <c r="F187" s="124">
        <f>F186</f>
        <v>4.4200000000000003E-2</v>
      </c>
      <c r="G187" s="60">
        <f t="shared" si="38"/>
        <v>3.6252354048964222</v>
      </c>
      <c r="H187" s="58"/>
      <c r="I187" s="60">
        <f>VLOOKUP(B187,'fixed cost'!$B$4:$R$116,17,0)</f>
        <v>0</v>
      </c>
      <c r="J187" s="58"/>
      <c r="K187" s="58"/>
      <c r="L187" s="58">
        <f>L186</f>
        <v>7.3999999999999996E-2</v>
      </c>
      <c r="M187" s="125"/>
      <c r="N187" s="58">
        <v>0.55000000000000004</v>
      </c>
      <c r="O187" s="60">
        <f t="shared" si="32"/>
        <v>4.2492354048964218</v>
      </c>
      <c r="P187" s="60">
        <v>3.4780000000000002</v>
      </c>
      <c r="Q187" s="188">
        <f t="shared" si="33"/>
        <v>-0.12800000000000011</v>
      </c>
      <c r="R187" s="189">
        <f t="shared" si="34"/>
        <v>-3.6802760207015554E-2</v>
      </c>
    </row>
    <row r="188" spans="1:18" s="182" customFormat="1" ht="15.75" customHeight="1" x14ac:dyDescent="0.25">
      <c r="A188" s="127">
        <f>A187+1</f>
        <v>154</v>
      </c>
      <c r="B188" s="147" t="s">
        <v>134</v>
      </c>
      <c r="C188" s="148">
        <f t="shared" si="43"/>
        <v>3.35</v>
      </c>
      <c r="D188" s="149">
        <f t="shared" si="43"/>
        <v>0.115</v>
      </c>
      <c r="E188" s="148">
        <f t="shared" si="37"/>
        <v>3.4650000000000003</v>
      </c>
      <c r="F188" s="150">
        <f>F187</f>
        <v>4.4200000000000003E-2</v>
      </c>
      <c r="G188" s="148">
        <f t="shared" si="38"/>
        <v>3.6252354048964222</v>
      </c>
      <c r="H188" s="146"/>
      <c r="I188" s="148">
        <f>VLOOKUP(B188,'fixed cost'!$B$4:$R$116,17,0)</f>
        <v>0</v>
      </c>
      <c r="J188" s="146"/>
      <c r="K188" s="146"/>
      <c r="L188" s="146">
        <f>L187</f>
        <v>7.3999999999999996E-2</v>
      </c>
      <c r="M188" s="146"/>
      <c r="N188" s="146">
        <v>0.75</v>
      </c>
      <c r="O188" s="148">
        <f t="shared" si="32"/>
        <v>4.449235404896422</v>
      </c>
      <c r="P188" s="148">
        <v>3.4780000000000002</v>
      </c>
      <c r="Q188" s="188">
        <f t="shared" si="33"/>
        <v>-0.12800000000000011</v>
      </c>
      <c r="R188" s="189">
        <f t="shared" si="34"/>
        <v>-3.6802760207015554E-2</v>
      </c>
    </row>
    <row r="189" spans="1:18" s="119" customFormat="1" ht="15.75" customHeight="1" x14ac:dyDescent="0.25">
      <c r="A189" s="127">
        <f>A186+1</f>
        <v>153</v>
      </c>
      <c r="B189" s="4" t="s">
        <v>135</v>
      </c>
      <c r="C189" s="214">
        <v>3.3860000000000001</v>
      </c>
      <c r="D189" s="1">
        <v>0.19298999999999999</v>
      </c>
      <c r="E189" s="1">
        <f t="shared" si="37"/>
        <v>3.5789900000000001</v>
      </c>
      <c r="F189" s="7">
        <f>F186</f>
        <v>4.4200000000000003E-2</v>
      </c>
      <c r="G189" s="1">
        <f t="shared" si="38"/>
        <v>3.7444967566436493</v>
      </c>
      <c r="H189" s="2"/>
      <c r="I189" s="1">
        <f>VLOOKUP(B189,'fixed cost'!$B$4:$R$116,17,0)</f>
        <v>0</v>
      </c>
      <c r="J189" s="2"/>
      <c r="K189" s="2"/>
      <c r="L189" s="1">
        <v>0.7</v>
      </c>
      <c r="M189" s="2"/>
      <c r="N189" s="2"/>
      <c r="O189" s="1">
        <f t="shared" si="32"/>
        <v>4.4444967566436491</v>
      </c>
      <c r="P189" s="213">
        <v>3.4980000000000002</v>
      </c>
      <c r="Q189" s="188">
        <f t="shared" si="33"/>
        <v>-0.1120000000000001</v>
      </c>
      <c r="R189" s="189">
        <f t="shared" si="34"/>
        <v>-3.2018296169239589E-2</v>
      </c>
    </row>
    <row r="190" spans="1:18" s="119" customFormat="1" ht="15.75" customHeight="1" x14ac:dyDescent="0.25">
      <c r="A190" s="127">
        <f t="shared" ref="A190:A196" si="44">A189+1</f>
        <v>154</v>
      </c>
      <c r="B190" s="46" t="s">
        <v>135</v>
      </c>
      <c r="C190" s="67">
        <f>C189</f>
        <v>3.3860000000000001</v>
      </c>
      <c r="D190" s="67">
        <f>D189</f>
        <v>0.19298999999999999</v>
      </c>
      <c r="E190" s="67">
        <f t="shared" si="37"/>
        <v>3.5789900000000001</v>
      </c>
      <c r="F190" s="184">
        <f t="shared" ref="F190:F196" si="45">F189</f>
        <v>4.4200000000000003E-2</v>
      </c>
      <c r="G190" s="67">
        <f t="shared" si="38"/>
        <v>3.7444967566436493</v>
      </c>
      <c r="H190" s="66"/>
      <c r="I190" s="67">
        <f>VLOOKUP(B190,'fixed cost'!$B$4:$R$116,17,0)</f>
        <v>0</v>
      </c>
      <c r="J190" s="66"/>
      <c r="K190" s="66"/>
      <c r="L190" s="66">
        <f>L189</f>
        <v>0.7</v>
      </c>
      <c r="M190" s="67">
        <f>VLOOKUP(B190,'fixed cost'!$B$4:$H$116,7,0)</f>
        <v>1.1206832154238848</v>
      </c>
      <c r="N190" s="66"/>
      <c r="O190" s="67">
        <f t="shared" si="32"/>
        <v>5.5651799720675337</v>
      </c>
      <c r="P190" s="67">
        <v>3.4980000000000002</v>
      </c>
      <c r="Q190" s="188">
        <f t="shared" si="33"/>
        <v>-0.1120000000000001</v>
      </c>
      <c r="R190" s="189">
        <f t="shared" si="34"/>
        <v>-3.2018296169239589E-2</v>
      </c>
    </row>
    <row r="191" spans="1:18" s="119" customFormat="1" ht="15.75" customHeight="1" x14ac:dyDescent="0.25">
      <c r="A191" s="127">
        <f t="shared" si="44"/>
        <v>155</v>
      </c>
      <c r="B191" s="4" t="s">
        <v>133</v>
      </c>
      <c r="C191" s="214">
        <v>3.339</v>
      </c>
      <c r="D191" s="1">
        <v>0.11899999999999999</v>
      </c>
      <c r="E191" s="1">
        <f t="shared" si="37"/>
        <v>3.4580000000000002</v>
      </c>
      <c r="F191" s="7">
        <f t="shared" si="45"/>
        <v>4.4200000000000003E-2</v>
      </c>
      <c r="G191" s="1">
        <f t="shared" si="38"/>
        <v>3.6179116970077425</v>
      </c>
      <c r="H191" s="2"/>
      <c r="I191" s="1">
        <f>VLOOKUP(B191,'fixed cost'!$B$4:$R$116,17,0)</f>
        <v>0</v>
      </c>
      <c r="J191" s="2"/>
      <c r="K191" s="2"/>
      <c r="L191" s="1">
        <v>7.0999999999999994E-2</v>
      </c>
      <c r="M191" s="2"/>
      <c r="N191" s="2"/>
      <c r="O191" s="1">
        <f t="shared" si="32"/>
        <v>3.6889116970077427</v>
      </c>
      <c r="P191" s="213">
        <v>3.4670000000000001</v>
      </c>
      <c r="Q191" s="188">
        <f t="shared" si="33"/>
        <v>-0.12800000000000011</v>
      </c>
      <c r="R191" s="189">
        <f t="shared" si="34"/>
        <v>-3.6919526968560747E-2</v>
      </c>
    </row>
    <row r="192" spans="1:18" s="119" customFormat="1" ht="15.75" customHeight="1" x14ac:dyDescent="0.25">
      <c r="A192" s="127">
        <f t="shared" si="44"/>
        <v>156</v>
      </c>
      <c r="B192" s="46" t="s">
        <v>133</v>
      </c>
      <c r="C192" s="67">
        <f>C191</f>
        <v>3.339</v>
      </c>
      <c r="D192" s="67">
        <f>D191</f>
        <v>0.11899999999999999</v>
      </c>
      <c r="E192" s="67">
        <f t="shared" si="37"/>
        <v>3.4580000000000002</v>
      </c>
      <c r="F192" s="184">
        <f t="shared" si="45"/>
        <v>4.4200000000000003E-2</v>
      </c>
      <c r="G192" s="67">
        <f t="shared" si="38"/>
        <v>3.6179116970077425</v>
      </c>
      <c r="H192" s="66"/>
      <c r="I192" s="67">
        <f>VLOOKUP(B192,'fixed cost'!$B$4:$R$116,17,0)</f>
        <v>0</v>
      </c>
      <c r="J192" s="66"/>
      <c r="K192" s="66"/>
      <c r="L192" s="67">
        <f>L191</f>
        <v>7.0999999999999994E-2</v>
      </c>
      <c r="M192" s="67">
        <f>VLOOKUP(B192,'fixed cost'!$B$4:$H$116,7,0)</f>
        <v>1.2090519383025429</v>
      </c>
      <c r="N192" s="66"/>
      <c r="O192" s="67">
        <f t="shared" si="32"/>
        <v>4.8979636353102851</v>
      </c>
      <c r="P192" s="67">
        <v>3.4670000000000001</v>
      </c>
      <c r="Q192" s="188">
        <f t="shared" si="33"/>
        <v>-0.12800000000000011</v>
      </c>
      <c r="R192" s="189">
        <f t="shared" si="34"/>
        <v>-3.6919526968560747E-2</v>
      </c>
    </row>
    <row r="193" spans="1:18" ht="15.75" customHeight="1" x14ac:dyDescent="0.25">
      <c r="A193" s="127">
        <f t="shared" si="44"/>
        <v>157</v>
      </c>
      <c r="B193" s="4" t="s">
        <v>153</v>
      </c>
      <c r="C193" s="1">
        <v>3.173</v>
      </c>
      <c r="D193" s="1">
        <v>0.158</v>
      </c>
      <c r="E193" s="1">
        <f t="shared" si="37"/>
        <v>3.331</v>
      </c>
      <c r="F193" s="7">
        <f t="shared" si="45"/>
        <v>4.4200000000000003E-2</v>
      </c>
      <c r="G193" s="1">
        <f t="shared" si="38"/>
        <v>3.4850387110274115</v>
      </c>
      <c r="H193" s="2"/>
      <c r="I193" s="1">
        <f>VLOOKUP(B193,'fixed cost'!$B$4:$R$116,17,0)</f>
        <v>0</v>
      </c>
      <c r="J193" s="2"/>
      <c r="K193" s="2"/>
      <c r="L193" s="214">
        <v>6.6000000000000003E-2</v>
      </c>
      <c r="M193" s="2"/>
      <c r="N193" s="2"/>
      <c r="O193" s="1">
        <f t="shared" si="32"/>
        <v>3.5510387110274113</v>
      </c>
      <c r="P193" s="213">
        <v>3.2160000000000002</v>
      </c>
      <c r="Q193" s="188">
        <f t="shared" si="33"/>
        <v>-4.3000000000000149E-2</v>
      </c>
      <c r="R193" s="189">
        <f t="shared" si="34"/>
        <v>-1.3370646766169199E-2</v>
      </c>
    </row>
    <row r="194" spans="1:18" s="27" customFormat="1" ht="15.75" customHeight="1" x14ac:dyDescent="0.25">
      <c r="A194" s="127">
        <f t="shared" si="44"/>
        <v>158</v>
      </c>
      <c r="B194" s="46" t="s">
        <v>153</v>
      </c>
      <c r="C194" s="67">
        <f t="shared" ref="C194:D196" si="46">C193</f>
        <v>3.173</v>
      </c>
      <c r="D194" s="67">
        <f t="shared" si="46"/>
        <v>0.158</v>
      </c>
      <c r="E194" s="67">
        <f t="shared" si="37"/>
        <v>3.331</v>
      </c>
      <c r="F194" s="184">
        <f t="shared" si="45"/>
        <v>4.4200000000000003E-2</v>
      </c>
      <c r="G194" s="67">
        <f t="shared" si="38"/>
        <v>3.4850387110274115</v>
      </c>
      <c r="H194" s="66"/>
      <c r="I194" s="67">
        <f>VLOOKUP(B194,'fixed cost'!$B$4:$R$116,17,0)</f>
        <v>0</v>
      </c>
      <c r="J194" s="66"/>
      <c r="K194" s="66"/>
      <c r="L194" s="67">
        <f>L193</f>
        <v>6.6000000000000003E-2</v>
      </c>
      <c r="M194" s="67">
        <f>VLOOKUP(B194,'fixed cost'!$B$4:$H$116,7,0)</f>
        <v>1.6577600990616079</v>
      </c>
      <c r="N194" s="66"/>
      <c r="O194" s="67">
        <f t="shared" si="32"/>
        <v>5.2087988100890197</v>
      </c>
      <c r="P194" s="67">
        <v>3.2160000000000002</v>
      </c>
      <c r="Q194" s="188">
        <f t="shared" si="33"/>
        <v>-4.3000000000000149E-2</v>
      </c>
      <c r="R194" s="189">
        <f t="shared" si="34"/>
        <v>-1.3370646766169199E-2</v>
      </c>
    </row>
    <row r="195" spans="1:18" s="182" customFormat="1" ht="15.75" customHeight="1" x14ac:dyDescent="0.25">
      <c r="A195" s="127">
        <f t="shared" si="44"/>
        <v>159</v>
      </c>
      <c r="B195" s="59" t="s">
        <v>153</v>
      </c>
      <c r="C195" s="60">
        <f t="shared" si="46"/>
        <v>3.173</v>
      </c>
      <c r="D195" s="60">
        <f t="shared" si="46"/>
        <v>0.158</v>
      </c>
      <c r="E195" s="60">
        <f t="shared" si="37"/>
        <v>3.331</v>
      </c>
      <c r="F195" s="124">
        <f t="shared" si="45"/>
        <v>4.4200000000000003E-2</v>
      </c>
      <c r="G195" s="60">
        <f t="shared" si="38"/>
        <v>3.4850387110274115</v>
      </c>
      <c r="H195" s="58"/>
      <c r="I195" s="60">
        <f>VLOOKUP(B195,'fixed cost'!$B$4:$R$116,17,0)</f>
        <v>0</v>
      </c>
      <c r="J195" s="58"/>
      <c r="K195" s="58"/>
      <c r="L195" s="58">
        <f>L194</f>
        <v>6.6000000000000003E-2</v>
      </c>
      <c r="M195" s="125"/>
      <c r="N195" s="58">
        <v>0.55000000000000004</v>
      </c>
      <c r="O195" s="60">
        <f t="shared" si="32"/>
        <v>4.1010387110274111</v>
      </c>
      <c r="P195" s="60">
        <v>3.2160000000000002</v>
      </c>
      <c r="Q195" s="188">
        <f t="shared" si="33"/>
        <v>-4.3000000000000149E-2</v>
      </c>
      <c r="R195" s="189">
        <f t="shared" si="34"/>
        <v>-1.3370646766169199E-2</v>
      </c>
    </row>
    <row r="196" spans="1:18" s="182" customFormat="1" ht="15.75" customHeight="1" x14ac:dyDescent="0.25">
      <c r="A196" s="127">
        <f t="shared" si="44"/>
        <v>160</v>
      </c>
      <c r="B196" s="147" t="s">
        <v>153</v>
      </c>
      <c r="C196" s="148">
        <f t="shared" si="46"/>
        <v>3.173</v>
      </c>
      <c r="D196" s="149">
        <f t="shared" si="46"/>
        <v>0.158</v>
      </c>
      <c r="E196" s="148">
        <f t="shared" si="37"/>
        <v>3.331</v>
      </c>
      <c r="F196" s="150">
        <f t="shared" si="45"/>
        <v>4.4200000000000003E-2</v>
      </c>
      <c r="G196" s="148">
        <f t="shared" si="38"/>
        <v>3.4850387110274115</v>
      </c>
      <c r="H196" s="146"/>
      <c r="I196" s="148">
        <f>VLOOKUP(B196,'fixed cost'!$B$4:$R$116,17,0)</f>
        <v>0</v>
      </c>
      <c r="J196" s="146"/>
      <c r="K196" s="146"/>
      <c r="L196" s="146">
        <f>L195</f>
        <v>6.6000000000000003E-2</v>
      </c>
      <c r="M196" s="146"/>
      <c r="N196" s="146">
        <v>0.75</v>
      </c>
      <c r="O196" s="148">
        <f t="shared" si="32"/>
        <v>4.3010387110274113</v>
      </c>
      <c r="P196" s="148">
        <v>3.2160000000000002</v>
      </c>
      <c r="Q196" s="188">
        <f t="shared" si="33"/>
        <v>-4.3000000000000149E-2</v>
      </c>
      <c r="R196" s="189">
        <f t="shared" si="34"/>
        <v>-1.3370646766169199E-2</v>
      </c>
    </row>
    <row r="197" spans="1:18" s="119" customFormat="1" ht="15.75" customHeight="1" x14ac:dyDescent="0.25">
      <c r="A197" s="127">
        <f>A194+1</f>
        <v>159</v>
      </c>
      <c r="B197" s="97" t="s">
        <v>145</v>
      </c>
      <c r="C197" s="98">
        <v>2.2069999999999999</v>
      </c>
      <c r="D197" s="98"/>
      <c r="E197" s="98">
        <f t="shared" si="37"/>
        <v>2.2069999999999999</v>
      </c>
      <c r="F197" s="172">
        <f>F194</f>
        <v>4.4200000000000003E-2</v>
      </c>
      <c r="G197" s="98">
        <f t="shared" si="38"/>
        <v>2.3090604729022806</v>
      </c>
      <c r="H197" s="96"/>
      <c r="I197" s="98">
        <f>VLOOKUP(B197,'fixed cost'!$B$4:$R$116,17,0)</f>
        <v>0</v>
      </c>
      <c r="J197" s="96"/>
      <c r="K197" s="96"/>
      <c r="L197" s="96"/>
      <c r="M197" s="96"/>
      <c r="N197" s="96"/>
      <c r="O197" s="98">
        <f t="shared" si="32"/>
        <v>2.3090604729022806</v>
      </c>
      <c r="P197" s="98">
        <v>2.2069999999999999</v>
      </c>
      <c r="Q197" s="188">
        <f t="shared" si="33"/>
        <v>0</v>
      </c>
      <c r="R197" s="189">
        <f t="shared" si="34"/>
        <v>0</v>
      </c>
    </row>
    <row r="198" spans="1:18" s="119" customFormat="1" ht="28.5" customHeight="1" x14ac:dyDescent="0.25">
      <c r="A198" s="212">
        <f t="shared" ref="A198:A207" si="47">A197+1</f>
        <v>160</v>
      </c>
      <c r="B198" s="13" t="s">
        <v>295</v>
      </c>
      <c r="C198" s="1">
        <v>3.4119999999999999</v>
      </c>
      <c r="D198" s="1"/>
      <c r="E198" s="1">
        <f t="shared" si="37"/>
        <v>3.4119999999999999</v>
      </c>
      <c r="F198" s="7">
        <f>F197</f>
        <v>4.4200000000000003E-2</v>
      </c>
      <c r="G198" s="1">
        <f t="shared" si="38"/>
        <v>3.5697844737392761</v>
      </c>
      <c r="H198" s="2"/>
      <c r="I198" s="1"/>
      <c r="J198" s="2"/>
      <c r="K198" s="2"/>
      <c r="L198" s="2"/>
      <c r="M198" s="2"/>
      <c r="N198" s="2"/>
      <c r="O198" s="1">
        <f t="shared" ref="O198:O207" si="48">SUM(G198:N198)</f>
        <v>3.5697844737392761</v>
      </c>
      <c r="P198" s="1">
        <v>3.3839999999999999</v>
      </c>
      <c r="Q198" s="188">
        <f t="shared" ref="Q198:Q207" si="49">C198-P198</f>
        <v>2.8000000000000025E-2</v>
      </c>
      <c r="R198" s="189">
        <f t="shared" ref="R198:R199" si="50">Q198/P198</f>
        <v>8.2742316784870044E-3</v>
      </c>
    </row>
    <row r="199" spans="1:18" s="27" customFormat="1" ht="27" customHeight="1" x14ac:dyDescent="0.25">
      <c r="A199" s="212">
        <f t="shared" si="47"/>
        <v>161</v>
      </c>
      <c r="B199" s="126" t="s">
        <v>295</v>
      </c>
      <c r="C199" s="67">
        <f>C198</f>
        <v>3.4119999999999999</v>
      </c>
      <c r="D199" s="67">
        <f>D198</f>
        <v>0</v>
      </c>
      <c r="E199" s="67">
        <f t="shared" si="37"/>
        <v>3.4119999999999999</v>
      </c>
      <c r="F199" s="184">
        <f>F198</f>
        <v>4.4200000000000003E-2</v>
      </c>
      <c r="G199" s="67">
        <f t="shared" si="38"/>
        <v>3.5697844737392761</v>
      </c>
      <c r="H199" s="66"/>
      <c r="I199" s="67"/>
      <c r="J199" s="66"/>
      <c r="K199" s="66"/>
      <c r="L199" s="67">
        <f>L198</f>
        <v>0</v>
      </c>
      <c r="M199" s="67">
        <f>VLOOKUP(B199,'fixed cost'!$B$4:$H$116,7,0)</f>
        <v>3.3963081131187538</v>
      </c>
      <c r="N199" s="66"/>
      <c r="O199" s="67">
        <f t="shared" si="48"/>
        <v>6.9660925868580303</v>
      </c>
      <c r="P199" s="67">
        <v>3.3839999999999999</v>
      </c>
      <c r="Q199" s="188">
        <f t="shared" si="49"/>
        <v>2.8000000000000025E-2</v>
      </c>
      <c r="R199" s="189">
        <f t="shared" si="50"/>
        <v>8.2742316784870044E-3</v>
      </c>
    </row>
    <row r="200" spans="1:18" s="119" customFormat="1" ht="15.75" customHeight="1" x14ac:dyDescent="0.25">
      <c r="A200" s="212">
        <f t="shared" si="47"/>
        <v>162</v>
      </c>
      <c r="B200" s="13" t="s">
        <v>300</v>
      </c>
      <c r="C200" s="1">
        <v>2.0230000000000001</v>
      </c>
      <c r="D200" s="1"/>
      <c r="E200" s="1">
        <f t="shared" si="37"/>
        <v>2.0230000000000001</v>
      </c>
      <c r="F200" s="7">
        <f>F198</f>
        <v>4.4200000000000003E-2</v>
      </c>
      <c r="G200" s="1">
        <f t="shared" si="38"/>
        <v>2.1165515798284162</v>
      </c>
      <c r="H200" s="2"/>
      <c r="I200" s="1"/>
      <c r="J200" s="2"/>
      <c r="K200" s="2"/>
      <c r="L200" s="2"/>
      <c r="M200" s="2"/>
      <c r="N200" s="2"/>
      <c r="O200" s="1">
        <f t="shared" si="48"/>
        <v>2.1165515798284162</v>
      </c>
      <c r="P200" s="1">
        <v>2.0230000000000001</v>
      </c>
      <c r="Q200" s="188">
        <f t="shared" si="49"/>
        <v>0</v>
      </c>
      <c r="R200" s="189">
        <f t="shared" ref="R200:R207" si="51">Q200/P200</f>
        <v>0</v>
      </c>
    </row>
    <row r="201" spans="1:18" s="27" customFormat="1" ht="15.75" customHeight="1" x14ac:dyDescent="0.25">
      <c r="A201" s="212">
        <f t="shared" si="47"/>
        <v>163</v>
      </c>
      <c r="B201" s="46" t="s">
        <v>300</v>
      </c>
      <c r="C201" s="67">
        <f>C200</f>
        <v>2.0230000000000001</v>
      </c>
      <c r="D201" s="67">
        <f>D200</f>
        <v>0</v>
      </c>
      <c r="E201" s="67">
        <f t="shared" si="37"/>
        <v>2.0230000000000001</v>
      </c>
      <c r="F201" s="184">
        <f>F200</f>
        <v>4.4200000000000003E-2</v>
      </c>
      <c r="G201" s="67">
        <f t="shared" si="38"/>
        <v>2.1165515798284162</v>
      </c>
      <c r="H201" s="66"/>
      <c r="I201" s="67">
        <f>VLOOKUP(B201,'fixed cost'!$B$4:$R$116,17,0)</f>
        <v>0</v>
      </c>
      <c r="J201" s="66"/>
      <c r="K201" s="66"/>
      <c r="L201" s="67">
        <f>L200</f>
        <v>0</v>
      </c>
      <c r="M201" s="67">
        <f>VLOOKUP(B201,'fixed cost'!$B$4:$H$116,7,0)</f>
        <v>1.3848414206162407</v>
      </c>
      <c r="N201" s="66"/>
      <c r="O201" s="67">
        <f t="shared" si="48"/>
        <v>3.501393000444657</v>
      </c>
      <c r="P201" s="67">
        <v>2.0230000000000001</v>
      </c>
      <c r="Q201" s="188">
        <f t="shared" si="49"/>
        <v>0</v>
      </c>
      <c r="R201" s="189">
        <f t="shared" si="51"/>
        <v>0</v>
      </c>
    </row>
    <row r="202" spans="1:18" s="119" customFormat="1" ht="29.25" customHeight="1" x14ac:dyDescent="0.25">
      <c r="A202" s="211">
        <f t="shared" si="47"/>
        <v>164</v>
      </c>
      <c r="B202" s="13" t="s">
        <v>297</v>
      </c>
      <c r="C202" s="1">
        <v>2.5245000000000002</v>
      </c>
      <c r="D202" s="1"/>
      <c r="E202" s="1">
        <f t="shared" si="37"/>
        <v>2.5245000000000002</v>
      </c>
      <c r="F202" s="7">
        <f>F200</f>
        <v>4.4200000000000003E-2</v>
      </c>
      <c r="G202" s="1">
        <f t="shared" si="38"/>
        <v>2.6412429378531077</v>
      </c>
      <c r="H202" s="2"/>
      <c r="I202" s="1"/>
      <c r="J202" s="2"/>
      <c r="K202" s="2"/>
      <c r="L202" s="2"/>
      <c r="M202" s="2"/>
      <c r="N202" s="2"/>
      <c r="O202" s="1">
        <f t="shared" si="48"/>
        <v>2.6412429378531077</v>
      </c>
      <c r="P202" s="1">
        <v>2.5245000000000002</v>
      </c>
      <c r="Q202" s="188">
        <f t="shared" si="49"/>
        <v>0</v>
      </c>
      <c r="R202" s="189">
        <f t="shared" si="51"/>
        <v>0</v>
      </c>
    </row>
    <row r="203" spans="1:18" s="119" customFormat="1" ht="27.75" customHeight="1" x14ac:dyDescent="0.25">
      <c r="A203" s="211">
        <f t="shared" si="47"/>
        <v>165</v>
      </c>
      <c r="B203" s="13" t="s">
        <v>298</v>
      </c>
      <c r="C203" s="1">
        <v>2.5695000000000001</v>
      </c>
      <c r="D203" s="1"/>
      <c r="E203" s="1">
        <f t="shared" si="37"/>
        <v>2.5695000000000001</v>
      </c>
      <c r="F203" s="7">
        <f>F202</f>
        <v>4.4200000000000003E-2</v>
      </c>
      <c r="G203" s="1">
        <f t="shared" si="38"/>
        <v>2.6883239171374766</v>
      </c>
      <c r="H203" s="2"/>
      <c r="I203" s="1"/>
      <c r="J203" s="2"/>
      <c r="K203" s="2"/>
      <c r="L203" s="2"/>
      <c r="M203" s="2"/>
      <c r="N203" s="2"/>
      <c r="O203" s="1">
        <f t="shared" si="48"/>
        <v>2.6883239171374766</v>
      </c>
      <c r="P203" s="1">
        <v>2.5695000000000001</v>
      </c>
      <c r="Q203" s="188">
        <f t="shared" si="49"/>
        <v>0</v>
      </c>
      <c r="R203" s="189">
        <f t="shared" si="51"/>
        <v>0</v>
      </c>
    </row>
    <row r="204" spans="1:18" s="119" customFormat="1" ht="30.75" customHeight="1" x14ac:dyDescent="0.25">
      <c r="A204" s="211">
        <f t="shared" si="47"/>
        <v>166</v>
      </c>
      <c r="B204" s="13" t="s">
        <v>296</v>
      </c>
      <c r="C204" s="1">
        <v>2.7559999999999998</v>
      </c>
      <c r="D204" s="1"/>
      <c r="E204" s="1">
        <f t="shared" si="37"/>
        <v>2.7559999999999998</v>
      </c>
      <c r="F204" s="7">
        <f>F203</f>
        <v>4.4200000000000003E-2</v>
      </c>
      <c r="G204" s="1">
        <f t="shared" si="38"/>
        <v>2.8834484201715838</v>
      </c>
      <c r="H204" s="2"/>
      <c r="I204" s="1"/>
      <c r="J204" s="2"/>
      <c r="K204" s="2"/>
      <c r="L204" s="2"/>
      <c r="M204" s="2"/>
      <c r="N204" s="2"/>
      <c r="O204" s="1">
        <f t="shared" si="48"/>
        <v>2.8834484201715838</v>
      </c>
      <c r="P204" s="1">
        <v>2.7559999999999998</v>
      </c>
      <c r="Q204" s="188">
        <f t="shared" si="49"/>
        <v>0</v>
      </c>
      <c r="R204" s="189">
        <f t="shared" si="51"/>
        <v>0</v>
      </c>
    </row>
    <row r="205" spans="1:18" s="119" customFormat="1" ht="25.5" customHeight="1" x14ac:dyDescent="0.25">
      <c r="A205" s="211">
        <f t="shared" si="47"/>
        <v>167</v>
      </c>
      <c r="B205" s="13" t="s">
        <v>299</v>
      </c>
      <c r="C205" s="1">
        <v>2.4350000000000001</v>
      </c>
      <c r="D205" s="1"/>
      <c r="E205" s="1">
        <f t="shared" si="37"/>
        <v>2.4350000000000001</v>
      </c>
      <c r="F205" s="7">
        <f>F204</f>
        <v>4.4200000000000003E-2</v>
      </c>
      <c r="G205" s="1">
        <f t="shared" si="38"/>
        <v>2.5476041012764177</v>
      </c>
      <c r="H205" s="2"/>
      <c r="I205" s="1"/>
      <c r="J205" s="2"/>
      <c r="K205" s="2"/>
      <c r="L205" s="2"/>
      <c r="M205" s="2"/>
      <c r="N205" s="2"/>
      <c r="O205" s="1">
        <f t="shared" si="48"/>
        <v>2.5476041012764177</v>
      </c>
      <c r="P205" s="1">
        <v>2.4350000000000001</v>
      </c>
      <c r="Q205" s="188">
        <f t="shared" si="49"/>
        <v>0</v>
      </c>
      <c r="R205" s="189">
        <f t="shared" si="51"/>
        <v>0</v>
      </c>
    </row>
    <row r="206" spans="1:18" s="119" customFormat="1" ht="25.5" customHeight="1" x14ac:dyDescent="0.25">
      <c r="A206" s="211">
        <f t="shared" si="47"/>
        <v>168</v>
      </c>
      <c r="B206" s="13" t="s">
        <v>310</v>
      </c>
      <c r="C206" s="1">
        <v>2.67</v>
      </c>
      <c r="D206" s="1">
        <v>-0.161</v>
      </c>
      <c r="E206" s="1">
        <f t="shared" si="37"/>
        <v>2.5089999999999999</v>
      </c>
      <c r="F206" s="7">
        <f>F205</f>
        <v>4.4200000000000003E-2</v>
      </c>
      <c r="G206" s="1">
        <f t="shared" si="38"/>
        <v>2.6250261560996022</v>
      </c>
      <c r="H206" s="2"/>
      <c r="I206" s="1"/>
      <c r="J206" s="2"/>
      <c r="K206" s="2"/>
      <c r="L206" s="2">
        <v>0.16</v>
      </c>
      <c r="M206" s="2"/>
      <c r="N206" s="2"/>
      <c r="O206" s="1">
        <f t="shared" si="48"/>
        <v>2.7850261560996024</v>
      </c>
      <c r="P206" s="1">
        <v>2.67</v>
      </c>
      <c r="Q206" s="188">
        <f t="shared" si="49"/>
        <v>0</v>
      </c>
      <c r="R206" s="189">
        <f t="shared" si="51"/>
        <v>0</v>
      </c>
    </row>
    <row r="207" spans="1:18" s="119" customFormat="1" ht="25.5" customHeight="1" x14ac:dyDescent="0.25">
      <c r="A207" s="211">
        <f t="shared" si="47"/>
        <v>169</v>
      </c>
      <c r="B207" s="13" t="s">
        <v>311</v>
      </c>
      <c r="C207" s="1">
        <v>3.101</v>
      </c>
      <c r="D207" s="1">
        <v>-0.186</v>
      </c>
      <c r="E207" s="1">
        <f t="shared" si="37"/>
        <v>2.915</v>
      </c>
      <c r="F207" s="7">
        <f>F206</f>
        <v>4.4200000000000003E-2</v>
      </c>
      <c r="G207" s="1">
        <f t="shared" si="38"/>
        <v>3.0498012136430215</v>
      </c>
      <c r="H207" s="2"/>
      <c r="I207" s="1"/>
      <c r="J207" s="2"/>
      <c r="K207" s="2"/>
      <c r="L207" s="2"/>
      <c r="M207" s="2"/>
      <c r="N207" s="2"/>
      <c r="O207" s="1">
        <f t="shared" si="48"/>
        <v>3.0498012136430215</v>
      </c>
      <c r="P207" s="1">
        <v>3.101</v>
      </c>
      <c r="Q207" s="188">
        <f t="shared" si="49"/>
        <v>0</v>
      </c>
      <c r="R207" s="189">
        <f t="shared" si="51"/>
        <v>0</v>
      </c>
    </row>
    <row r="208" spans="1:18" ht="15.75" customHeight="1" x14ac:dyDescent="0.25">
      <c r="A208" s="12"/>
      <c r="B208" s="38"/>
      <c r="C208" s="69"/>
      <c r="D208" s="118"/>
      <c r="E208" s="69"/>
      <c r="F208" s="70"/>
      <c r="G208" s="69"/>
      <c r="H208" s="12"/>
      <c r="I208" s="12"/>
      <c r="J208" s="12"/>
      <c r="K208" s="12"/>
      <c r="L208" s="12"/>
      <c r="M208" s="12"/>
      <c r="N208" s="12"/>
      <c r="O208" s="69"/>
    </row>
    <row r="209" spans="1:15" ht="15.75" customHeight="1" x14ac:dyDescent="0.25">
      <c r="A209" s="12">
        <v>1</v>
      </c>
      <c r="B209" s="38" t="s">
        <v>330</v>
      </c>
      <c r="C209" s="201"/>
      <c r="D209" s="123"/>
      <c r="E209" s="123"/>
      <c r="F209" s="123"/>
      <c r="G209" s="123"/>
      <c r="H209" s="123"/>
      <c r="I209" s="123"/>
      <c r="J209" s="123"/>
      <c r="K209" s="123"/>
      <c r="L209" s="201"/>
      <c r="M209" s="123"/>
      <c r="N209" s="123"/>
      <c r="O209" s="123"/>
    </row>
    <row r="210" spans="1:15" x14ac:dyDescent="0.25">
      <c r="A210" s="12">
        <v>2</v>
      </c>
      <c r="B210" s="38" t="s">
        <v>163</v>
      </c>
      <c r="C210" s="12"/>
      <c r="D210" s="38"/>
      <c r="E210" s="38"/>
      <c r="F210" s="38"/>
      <c r="G210" s="38"/>
      <c r="H210" s="38"/>
      <c r="I210" s="38"/>
      <c r="J210" s="12"/>
      <c r="K210" s="38"/>
      <c r="L210" s="12"/>
      <c r="M210" s="38"/>
      <c r="N210" s="38"/>
      <c r="O210" s="38"/>
    </row>
    <row r="211" spans="1:15" s="88" customFormat="1" x14ac:dyDescent="0.25">
      <c r="A211" s="12">
        <v>3</v>
      </c>
      <c r="B211" s="244" t="s">
        <v>231</v>
      </c>
      <c r="C211" s="244"/>
      <c r="D211" s="244"/>
      <c r="E211" s="244"/>
      <c r="F211" s="244"/>
      <c r="G211" s="244"/>
      <c r="H211" s="244"/>
      <c r="I211" s="244"/>
      <c r="J211" s="244"/>
      <c r="K211" s="244"/>
      <c r="L211" s="244"/>
      <c r="M211" s="244"/>
      <c r="N211" s="244"/>
      <c r="O211" s="244"/>
    </row>
    <row r="212" spans="1:15" s="88" customFormat="1" x14ac:dyDescent="0.25">
      <c r="A212" s="12">
        <v>4</v>
      </c>
      <c r="B212" s="86" t="s">
        <v>254</v>
      </c>
      <c r="C212" s="87"/>
      <c r="D212" s="86"/>
      <c r="E212" s="87"/>
      <c r="F212" s="86"/>
      <c r="G212" s="86"/>
      <c r="H212" s="86"/>
      <c r="I212" s="86"/>
      <c r="J212" s="87"/>
      <c r="K212" s="86"/>
      <c r="L212" s="87"/>
      <c r="M212" s="86"/>
      <c r="N212" s="86"/>
      <c r="O212" s="86"/>
    </row>
    <row r="213" spans="1:15" s="88" customFormat="1" ht="18.75" customHeight="1" x14ac:dyDescent="0.25">
      <c r="A213" s="12">
        <v>9</v>
      </c>
      <c r="B213" s="244" t="s">
        <v>314</v>
      </c>
      <c r="C213" s="244"/>
      <c r="D213" s="244"/>
      <c r="E213" s="244"/>
      <c r="F213" s="244"/>
      <c r="G213" s="244"/>
      <c r="H213" s="244"/>
      <c r="I213" s="244"/>
      <c r="J213" s="244"/>
      <c r="K213" s="244"/>
      <c r="L213" s="244"/>
      <c r="M213" s="244"/>
      <c r="N213" s="244"/>
      <c r="O213" s="244"/>
    </row>
    <row r="214" spans="1:15" s="88" customFormat="1" x14ac:dyDescent="0.25">
      <c r="A214" s="12">
        <v>9</v>
      </c>
      <c r="B214" s="244" t="s">
        <v>259</v>
      </c>
      <c r="C214" s="244"/>
      <c r="D214" s="244"/>
      <c r="E214" s="244"/>
      <c r="F214" s="244"/>
      <c r="G214" s="244"/>
      <c r="H214" s="244"/>
      <c r="I214" s="244"/>
      <c r="J214" s="244"/>
      <c r="K214" s="244"/>
      <c r="L214" s="244"/>
      <c r="M214" s="244"/>
      <c r="N214" s="244"/>
      <c r="O214" s="244"/>
    </row>
    <row r="215" spans="1:15" s="88" customFormat="1" x14ac:dyDescent="0.25">
      <c r="A215" s="12">
        <v>10</v>
      </c>
      <c r="B215" s="244" t="s">
        <v>258</v>
      </c>
      <c r="C215" s="244"/>
      <c r="D215" s="244"/>
      <c r="E215" s="244"/>
      <c r="F215" s="244"/>
      <c r="G215" s="244"/>
      <c r="H215" s="244"/>
      <c r="I215" s="244"/>
      <c r="J215" s="244"/>
      <c r="K215" s="244"/>
      <c r="L215" s="244"/>
      <c r="M215" s="244"/>
      <c r="N215" s="244"/>
      <c r="O215" s="244"/>
    </row>
    <row r="216" spans="1:15" s="88" customFormat="1" x14ac:dyDescent="0.25">
      <c r="A216" s="12">
        <v>11</v>
      </c>
      <c r="B216" s="244" t="s">
        <v>262</v>
      </c>
      <c r="C216" s="244"/>
      <c r="D216" s="244"/>
      <c r="E216" s="244"/>
      <c r="F216" s="244"/>
      <c r="G216" s="244"/>
      <c r="H216" s="244"/>
      <c r="I216" s="244"/>
      <c r="J216" s="244"/>
      <c r="K216" s="244"/>
      <c r="L216" s="244"/>
      <c r="M216" s="244"/>
      <c r="N216" s="244"/>
      <c r="O216" s="244"/>
    </row>
    <row r="217" spans="1:15" s="88" customFormat="1" x14ac:dyDescent="0.25">
      <c r="A217" s="12">
        <v>12</v>
      </c>
      <c r="B217" s="244" t="s">
        <v>307</v>
      </c>
      <c r="C217" s="244"/>
      <c r="D217" s="244"/>
      <c r="E217" s="244"/>
      <c r="F217" s="244"/>
      <c r="G217" s="244"/>
      <c r="H217" s="244"/>
      <c r="I217" s="244"/>
      <c r="J217" s="244"/>
      <c r="K217" s="244"/>
      <c r="L217" s="244"/>
      <c r="M217" s="244"/>
      <c r="N217" s="244"/>
      <c r="O217" s="244"/>
    </row>
    <row r="218" spans="1:15" s="88" customFormat="1" ht="26.25" customHeight="1" x14ac:dyDescent="0.25">
      <c r="A218" s="12">
        <v>11</v>
      </c>
      <c r="B218" s="244" t="s">
        <v>256</v>
      </c>
      <c r="C218" s="244"/>
      <c r="D218" s="244"/>
      <c r="E218" s="244"/>
      <c r="F218" s="244"/>
      <c r="G218" s="244"/>
      <c r="H218" s="244"/>
      <c r="I218" s="244"/>
      <c r="J218" s="244"/>
      <c r="K218" s="244"/>
      <c r="L218" s="244"/>
      <c r="M218" s="244"/>
      <c r="N218" s="244"/>
      <c r="O218" s="244"/>
    </row>
    <row r="219" spans="1:15" s="88" customFormat="1" ht="18.75" customHeight="1" x14ac:dyDescent="0.25">
      <c r="A219" s="12">
        <v>12</v>
      </c>
      <c r="B219" s="244" t="s">
        <v>260</v>
      </c>
      <c r="C219" s="244"/>
      <c r="D219" s="244"/>
      <c r="E219" s="244"/>
      <c r="F219" s="244"/>
      <c r="G219" s="244"/>
      <c r="H219" s="244"/>
      <c r="I219" s="244"/>
      <c r="J219" s="244"/>
      <c r="K219" s="244"/>
      <c r="L219" s="244"/>
      <c r="M219" s="244"/>
      <c r="N219" s="244"/>
      <c r="O219" s="244"/>
    </row>
    <row r="220" spans="1:15" s="88" customFormat="1" x14ac:dyDescent="0.25">
      <c r="A220" s="12">
        <v>5</v>
      </c>
      <c r="B220" s="244" t="s">
        <v>331</v>
      </c>
      <c r="C220" s="244"/>
      <c r="D220" s="244"/>
      <c r="E220" s="244"/>
      <c r="F220" s="244"/>
      <c r="G220" s="244"/>
      <c r="H220" s="244"/>
      <c r="I220" s="244"/>
      <c r="J220" s="244"/>
      <c r="K220" s="244"/>
      <c r="L220" s="244"/>
      <c r="M220" s="244"/>
      <c r="N220" s="244"/>
      <c r="O220" s="244"/>
    </row>
    <row r="221" spans="1:15" s="88" customFormat="1" ht="26.25" customHeight="1" x14ac:dyDescent="0.25">
      <c r="A221" s="12"/>
      <c r="B221" s="216" t="s">
        <v>332</v>
      </c>
      <c r="C221" s="202"/>
      <c r="D221" s="216"/>
      <c r="E221" s="216"/>
      <c r="F221" s="216"/>
      <c r="G221" s="216"/>
      <c r="H221" s="216"/>
      <c r="I221" s="216"/>
      <c r="J221" s="216"/>
      <c r="K221" s="216"/>
      <c r="L221" s="202"/>
      <c r="M221" s="216"/>
      <c r="N221" s="216"/>
      <c r="O221" s="216"/>
    </row>
    <row r="222" spans="1:15" s="88" customFormat="1" ht="15" customHeight="1" x14ac:dyDescent="0.25">
      <c r="A222" s="12">
        <v>11</v>
      </c>
      <c r="B222" s="244" t="s">
        <v>312</v>
      </c>
      <c r="C222" s="244"/>
      <c r="D222" s="244"/>
      <c r="E222" s="244"/>
      <c r="F222" s="244"/>
      <c r="G222" s="244"/>
      <c r="H222" s="244"/>
      <c r="I222" s="244"/>
      <c r="J222" s="244"/>
      <c r="K222" s="244"/>
      <c r="L222" s="244"/>
      <c r="M222" s="244"/>
      <c r="N222" s="244"/>
      <c r="O222" s="244"/>
    </row>
    <row r="223" spans="1:15" s="88" customFormat="1" x14ac:dyDescent="0.25">
      <c r="A223" s="12" t="e">
        <f>#REF!+1</f>
        <v>#REF!</v>
      </c>
      <c r="B223" s="86" t="s">
        <v>180</v>
      </c>
      <c r="C223" s="87"/>
      <c r="D223" s="86"/>
      <c r="E223" s="87"/>
      <c r="F223" s="86"/>
      <c r="G223" s="86"/>
      <c r="H223" s="86"/>
      <c r="I223" s="86"/>
      <c r="J223" s="87"/>
      <c r="K223" s="86"/>
      <c r="L223" s="87"/>
      <c r="M223" s="86"/>
      <c r="N223" s="86"/>
      <c r="O223" s="86"/>
    </row>
    <row r="224" spans="1:15" s="88" customFormat="1" x14ac:dyDescent="0.25">
      <c r="A224" s="12" t="e">
        <f t="shared" ref="A224:A228" si="52">A223+1</f>
        <v>#REF!</v>
      </c>
      <c r="B224" s="86" t="s">
        <v>183</v>
      </c>
      <c r="C224" s="87"/>
      <c r="D224" s="86"/>
      <c r="E224" s="87"/>
      <c r="F224" s="86"/>
      <c r="G224" s="86"/>
      <c r="H224" s="86"/>
      <c r="I224" s="86"/>
      <c r="J224" s="87"/>
      <c r="K224" s="86"/>
      <c r="L224" s="87"/>
      <c r="M224" s="86"/>
      <c r="N224" s="86"/>
      <c r="O224" s="86"/>
    </row>
    <row r="225" spans="1:15" s="88" customFormat="1" x14ac:dyDescent="0.25">
      <c r="A225" s="12" t="e">
        <f t="shared" si="52"/>
        <v>#REF!</v>
      </c>
      <c r="B225" s="88" t="s">
        <v>176</v>
      </c>
      <c r="C225" s="87"/>
      <c r="D225" s="86"/>
      <c r="E225" s="87"/>
      <c r="F225" s="86"/>
      <c r="G225" s="86"/>
      <c r="H225" s="86"/>
      <c r="I225" s="86"/>
      <c r="J225" s="87"/>
      <c r="K225" s="86"/>
      <c r="L225" s="87"/>
      <c r="M225" s="86"/>
      <c r="N225" s="86"/>
      <c r="O225" s="86"/>
    </row>
    <row r="226" spans="1:15" x14ac:dyDescent="0.25">
      <c r="A226" s="12" t="e">
        <f t="shared" si="52"/>
        <v>#REF!</v>
      </c>
      <c r="B226" s="3" t="s">
        <v>173</v>
      </c>
    </row>
    <row r="227" spans="1:15" ht="24.75" customHeight="1" x14ac:dyDescent="0.25">
      <c r="A227" s="12" t="e">
        <f t="shared" si="52"/>
        <v>#REF!</v>
      </c>
      <c r="B227" s="245" t="s">
        <v>171</v>
      </c>
      <c r="C227" s="245"/>
      <c r="D227" s="245"/>
      <c r="E227" s="245"/>
      <c r="F227" s="245"/>
      <c r="G227" s="245"/>
      <c r="H227" s="245"/>
      <c r="I227" s="245"/>
      <c r="J227" s="245"/>
      <c r="K227" s="245"/>
      <c r="L227" s="245"/>
      <c r="M227" s="245"/>
      <c r="N227" s="245"/>
      <c r="O227" s="245"/>
    </row>
    <row r="228" spans="1:15" ht="27" customHeight="1" x14ac:dyDescent="0.25">
      <c r="A228" s="12" t="e">
        <f t="shared" si="52"/>
        <v>#REF!</v>
      </c>
      <c r="B228" s="245" t="s">
        <v>170</v>
      </c>
      <c r="C228" s="245"/>
      <c r="D228" s="245"/>
      <c r="E228" s="245"/>
      <c r="F228" s="245"/>
      <c r="G228" s="245"/>
      <c r="H228" s="245"/>
      <c r="I228" s="245"/>
      <c r="J228" s="245"/>
      <c r="K228" s="245"/>
      <c r="L228" s="245"/>
      <c r="M228" s="245"/>
      <c r="N228" s="245"/>
      <c r="O228" s="245"/>
    </row>
    <row r="229" spans="1:15" x14ac:dyDescent="0.25">
      <c r="B229" s="3" t="s">
        <v>194</v>
      </c>
    </row>
    <row r="231" spans="1:15" x14ac:dyDescent="0.25">
      <c r="B231" s="3" t="s">
        <v>184</v>
      </c>
    </row>
    <row r="233" spans="1:15" x14ac:dyDescent="0.25">
      <c r="E233" s="6" t="s">
        <v>185</v>
      </c>
      <c r="F233" s="3">
        <v>2.5830000000000002</v>
      </c>
    </row>
    <row r="234" spans="1:15" x14ac:dyDescent="0.25">
      <c r="E234" s="6" t="s">
        <v>186</v>
      </c>
      <c r="F234" s="3">
        <v>2.9510000000000001</v>
      </c>
    </row>
    <row r="235" spans="1:15" x14ac:dyDescent="0.25">
      <c r="B235" s="244" t="s">
        <v>230</v>
      </c>
      <c r="C235" s="244"/>
      <c r="D235" s="244"/>
      <c r="E235" s="244"/>
      <c r="F235" s="244"/>
      <c r="G235" s="244"/>
      <c r="H235" s="244"/>
      <c r="I235" s="244"/>
      <c r="J235" s="244"/>
      <c r="K235" s="244"/>
      <c r="L235" s="244"/>
      <c r="M235" s="244"/>
      <c r="N235" s="244"/>
      <c r="O235" s="244"/>
    </row>
    <row r="236" spans="1:15" s="88" customFormat="1" x14ac:dyDescent="0.25">
      <c r="A236" s="12">
        <v>7</v>
      </c>
      <c r="B236" s="86" t="s">
        <v>241</v>
      </c>
      <c r="C236" s="87"/>
      <c r="D236" s="86"/>
      <c r="E236" s="87"/>
      <c r="F236" s="86"/>
      <c r="G236" s="86"/>
      <c r="H236" s="86"/>
      <c r="I236" s="86"/>
      <c r="J236" s="87"/>
      <c r="K236" s="86"/>
      <c r="L236" s="87"/>
      <c r="M236" s="86"/>
      <c r="N236" s="86"/>
      <c r="O236" s="86"/>
    </row>
    <row r="237" spans="1:15" s="88" customFormat="1" x14ac:dyDescent="0.25">
      <c r="A237" s="12">
        <v>8</v>
      </c>
      <c r="B237" s="86" t="s">
        <v>253</v>
      </c>
      <c r="C237" s="87"/>
      <c r="D237" s="86"/>
      <c r="E237" s="87"/>
      <c r="F237" s="86"/>
      <c r="G237" s="86"/>
      <c r="H237" s="86"/>
      <c r="I237" s="86"/>
      <c r="J237" s="87"/>
      <c r="K237" s="86"/>
      <c r="L237" s="87"/>
      <c r="M237" s="86"/>
      <c r="N237" s="86"/>
      <c r="O237" s="86"/>
    </row>
    <row r="238" spans="1:15" s="88" customFormat="1" x14ac:dyDescent="0.25">
      <c r="A238" s="12">
        <v>9</v>
      </c>
      <c r="B238" s="86" t="s">
        <v>243</v>
      </c>
      <c r="C238" s="87"/>
      <c r="D238" s="86"/>
      <c r="E238" s="87"/>
      <c r="F238" s="86"/>
      <c r="G238" s="86"/>
      <c r="H238" s="86"/>
      <c r="I238" s="86"/>
      <c r="J238" s="87"/>
      <c r="K238" s="86"/>
      <c r="L238" s="87"/>
      <c r="M238" s="86"/>
      <c r="N238" s="86"/>
      <c r="O238" s="86"/>
    </row>
    <row r="239" spans="1:15" x14ac:dyDescent="0.25">
      <c r="B239" s="86" t="s">
        <v>255</v>
      </c>
    </row>
    <row r="240" spans="1:15" x14ac:dyDescent="0.25">
      <c r="B240" s="244" t="s">
        <v>274</v>
      </c>
      <c r="C240" s="244"/>
      <c r="D240" s="244"/>
      <c r="E240" s="244"/>
      <c r="F240" s="244"/>
      <c r="G240" s="244"/>
      <c r="H240" s="244"/>
      <c r="I240" s="244"/>
      <c r="J240" s="244"/>
      <c r="K240" s="244"/>
      <c r="L240" s="244"/>
      <c r="M240" s="244"/>
      <c r="N240" s="244"/>
      <c r="O240" s="244"/>
    </row>
  </sheetData>
  <autoFilter ref="A5:U207"/>
  <mergeCells count="29">
    <mergeCell ref="B240:O240"/>
    <mergeCell ref="B219:O219"/>
    <mergeCell ref="B220:O220"/>
    <mergeCell ref="B222:O222"/>
    <mergeCell ref="B227:O227"/>
    <mergeCell ref="B228:O228"/>
    <mergeCell ref="B235:O235"/>
    <mergeCell ref="B218:O218"/>
    <mergeCell ref="K2:K4"/>
    <mergeCell ref="L2:L4"/>
    <mergeCell ref="M2:M4"/>
    <mergeCell ref="N2:N4"/>
    <mergeCell ref="O2:O4"/>
    <mergeCell ref="B211:O211"/>
    <mergeCell ref="B213:O213"/>
    <mergeCell ref="B214:O214"/>
    <mergeCell ref="B215:O215"/>
    <mergeCell ref="B216:O216"/>
    <mergeCell ref="B217:O217"/>
    <mergeCell ref="A1:O1"/>
    <mergeCell ref="B2:B4"/>
    <mergeCell ref="C2:C4"/>
    <mergeCell ref="D2:D4"/>
    <mergeCell ref="E2:E4"/>
    <mergeCell ref="F2:F4"/>
    <mergeCell ref="G2:G3"/>
    <mergeCell ref="H2:H4"/>
    <mergeCell ref="I2:I4"/>
    <mergeCell ref="J2:J4"/>
  </mergeCells>
  <printOptions horizontalCentered="1"/>
  <pageMargins left="0.14000000000000001" right="9.8425196850393706E-2" top="0.11811023622047245" bottom="0.15748031496062992" header="0" footer="0"/>
  <pageSetup paperSize="9" scale="87"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rgb="FFFF0000"/>
  </sheetPr>
  <dimension ref="A1:O57"/>
  <sheetViews>
    <sheetView view="pageBreakPreview" topLeftCell="A46" zoomScaleSheetLayoutView="100" workbookViewId="0">
      <selection activeCell="P1" sqref="P1:Q1048576"/>
    </sheetView>
  </sheetViews>
  <sheetFormatPr defaultColWidth="9.140625" defaultRowHeight="15" x14ac:dyDescent="0.25"/>
  <cols>
    <col min="1" max="1" width="9.140625" style="10"/>
    <col min="2" max="2" width="23.7109375" style="10" customWidth="1"/>
    <col min="3" max="3" width="11.7109375" style="10" customWidth="1"/>
    <col min="4" max="5" width="9.140625" style="10"/>
    <col min="6" max="6" width="11.5703125" style="10" customWidth="1"/>
    <col min="7" max="7" width="11.42578125" style="10" customWidth="1"/>
    <col min="8" max="9" width="9.140625" style="10"/>
    <col min="10" max="10" width="9.5703125" style="10" customWidth="1"/>
    <col min="11" max="11" width="10.42578125" style="10" customWidth="1"/>
    <col min="12" max="13" width="10.28515625" style="10" customWidth="1"/>
    <col min="14" max="15" width="9.140625" style="10" hidden="1" customWidth="1"/>
    <col min="16" max="16384" width="9.140625" style="10"/>
  </cols>
  <sheetData>
    <row r="1" spans="1:15" x14ac:dyDescent="0.25">
      <c r="A1" s="246" t="s">
        <v>322</v>
      </c>
      <c r="B1" s="246"/>
      <c r="C1" s="246"/>
      <c r="D1" s="246"/>
      <c r="E1" s="246"/>
      <c r="F1" s="246"/>
      <c r="G1" s="246"/>
      <c r="H1" s="246"/>
      <c r="I1" s="246"/>
      <c r="J1" s="246"/>
      <c r="K1" s="246"/>
      <c r="L1" s="246"/>
      <c r="M1" s="246"/>
    </row>
    <row r="2" spans="1:15" ht="15" customHeight="1" x14ac:dyDescent="0.25">
      <c r="A2" s="240" t="s">
        <v>0</v>
      </c>
      <c r="B2" s="240" t="s">
        <v>1</v>
      </c>
      <c r="C2" s="240" t="s">
        <v>99</v>
      </c>
      <c r="D2" s="240" t="s">
        <v>49</v>
      </c>
      <c r="E2" s="240" t="s">
        <v>2</v>
      </c>
      <c r="F2" s="241" t="s">
        <v>193</v>
      </c>
      <c r="G2" s="240" t="s">
        <v>191</v>
      </c>
      <c r="H2" s="240" t="s">
        <v>55</v>
      </c>
      <c r="I2" s="237" t="s">
        <v>234</v>
      </c>
      <c r="J2" s="237" t="s">
        <v>284</v>
      </c>
      <c r="K2" s="237" t="s">
        <v>244</v>
      </c>
      <c r="L2" s="240" t="s">
        <v>48</v>
      </c>
      <c r="M2" s="240" t="s">
        <v>69</v>
      </c>
    </row>
    <row r="3" spans="1:15" ht="25.5" customHeight="1" x14ac:dyDescent="0.25">
      <c r="A3" s="240"/>
      <c r="B3" s="240"/>
      <c r="C3" s="240"/>
      <c r="D3" s="240"/>
      <c r="E3" s="240"/>
      <c r="F3" s="242"/>
      <c r="G3" s="240"/>
      <c r="H3" s="240"/>
      <c r="I3" s="238"/>
      <c r="J3" s="238"/>
      <c r="K3" s="238"/>
      <c r="L3" s="240"/>
      <c r="M3" s="240"/>
    </row>
    <row r="4" spans="1:15" ht="24.75" customHeight="1" x14ac:dyDescent="0.25">
      <c r="A4" s="240"/>
      <c r="B4" s="240"/>
      <c r="C4" s="240"/>
      <c r="D4" s="240"/>
      <c r="E4" s="240"/>
      <c r="F4" s="243"/>
      <c r="G4" s="228" t="s">
        <v>4</v>
      </c>
      <c r="H4" s="240"/>
      <c r="I4" s="239"/>
      <c r="J4" s="239"/>
      <c r="K4" s="239"/>
      <c r="L4" s="240"/>
      <c r="M4" s="240"/>
    </row>
    <row r="5" spans="1:15" ht="30.75" customHeight="1" x14ac:dyDescent="0.25">
      <c r="A5" s="228" t="s">
        <v>5</v>
      </c>
      <c r="B5" s="228" t="s">
        <v>6</v>
      </c>
      <c r="C5" s="228" t="s">
        <v>7</v>
      </c>
      <c r="D5" s="228" t="s">
        <v>8</v>
      </c>
      <c r="E5" s="228" t="s">
        <v>9</v>
      </c>
      <c r="F5" s="228" t="s">
        <v>10</v>
      </c>
      <c r="G5" s="233" t="s">
        <v>190</v>
      </c>
      <c r="H5" s="228" t="s">
        <v>189</v>
      </c>
      <c r="I5" s="228" t="s">
        <v>11</v>
      </c>
      <c r="J5" s="228" t="s">
        <v>12</v>
      </c>
      <c r="K5" s="228" t="s">
        <v>13</v>
      </c>
      <c r="L5" s="228" t="s">
        <v>14</v>
      </c>
      <c r="M5" s="228" t="s">
        <v>246</v>
      </c>
    </row>
    <row r="6" spans="1:15" ht="16.5" customHeight="1" x14ac:dyDescent="0.25">
      <c r="A6" s="2">
        <v>1</v>
      </c>
      <c r="B6" s="4" t="s">
        <v>16</v>
      </c>
      <c r="C6" s="1">
        <v>35.627000000000002</v>
      </c>
      <c r="D6" s="9">
        <v>0</v>
      </c>
      <c r="E6" s="1">
        <f t="shared" ref="E6:E37" si="0">C6+D6</f>
        <v>35.627000000000002</v>
      </c>
      <c r="F6" s="7">
        <v>4.4200000000000003E-2</v>
      </c>
      <c r="G6" s="1">
        <f t="shared" ref="G6:G37" si="1">E6/((100%-F6))</f>
        <v>37.274534421427077</v>
      </c>
      <c r="H6" s="2"/>
      <c r="I6" s="1">
        <v>0</v>
      </c>
      <c r="J6" s="2"/>
      <c r="K6" s="2"/>
      <c r="L6" s="1">
        <v>0.85915096311475081</v>
      </c>
      <c r="M6" s="1">
        <f t="shared" ref="M6:M37" si="2">SUM(G6:L6)</f>
        <v>38.133685384541828</v>
      </c>
      <c r="N6" s="10">
        <v>5.5743142710411284</v>
      </c>
      <c r="O6" s="43">
        <f>M6-N6</f>
        <v>32.559371113500703</v>
      </c>
    </row>
    <row r="7" spans="1:15" ht="16.5" customHeight="1" x14ac:dyDescent="0.25">
      <c r="A7" s="2">
        <f t="shared" ref="A7:A57" si="3">+A6+1</f>
        <v>2</v>
      </c>
      <c r="B7" s="4" t="s">
        <v>17</v>
      </c>
      <c r="C7" s="1">
        <v>29.718</v>
      </c>
      <c r="D7" s="9">
        <v>0</v>
      </c>
      <c r="E7" s="1">
        <f t="shared" si="0"/>
        <v>29.718</v>
      </c>
      <c r="F7" s="7">
        <v>4.4200000000000003E-2</v>
      </c>
      <c r="G7" s="1">
        <f t="shared" si="1"/>
        <v>31.092278719397363</v>
      </c>
      <c r="H7" s="2"/>
      <c r="I7" s="1">
        <v>0</v>
      </c>
      <c r="J7" s="2"/>
      <c r="K7" s="2"/>
      <c r="L7" s="1">
        <v>1.046590227201031</v>
      </c>
      <c r="M7" s="1">
        <f t="shared" si="2"/>
        <v>32.138868946598393</v>
      </c>
      <c r="N7" s="10">
        <v>3.2347420836883067</v>
      </c>
      <c r="O7" s="43">
        <f t="shared" ref="O7:O30" si="4">M7-N7</f>
        <v>28.904126862910086</v>
      </c>
    </row>
    <row r="8" spans="1:15" ht="16.5" customHeight="1" x14ac:dyDescent="0.25">
      <c r="A8" s="2">
        <f t="shared" si="3"/>
        <v>3</v>
      </c>
      <c r="B8" s="4" t="s">
        <v>128</v>
      </c>
      <c r="C8" s="1">
        <v>24.042999999999999</v>
      </c>
      <c r="D8" s="9">
        <v>0</v>
      </c>
      <c r="E8" s="1">
        <f t="shared" si="0"/>
        <v>24.042999999999999</v>
      </c>
      <c r="F8" s="7">
        <v>4.4200000000000003E-2</v>
      </c>
      <c r="G8" s="1">
        <f t="shared" si="1"/>
        <v>25.154844109646369</v>
      </c>
      <c r="H8" s="2"/>
      <c r="I8" s="1">
        <v>0</v>
      </c>
      <c r="J8" s="2"/>
      <c r="K8" s="2"/>
      <c r="L8" s="1">
        <v>0.85915096311475081</v>
      </c>
      <c r="M8" s="1">
        <f t="shared" si="2"/>
        <v>26.013995072761119</v>
      </c>
      <c r="N8" s="10">
        <v>10.344671161702491</v>
      </c>
      <c r="O8" s="43">
        <f t="shared" si="4"/>
        <v>15.669323911058628</v>
      </c>
    </row>
    <row r="9" spans="1:15" ht="16.5" customHeight="1" x14ac:dyDescent="0.25">
      <c r="A9" s="2">
        <f t="shared" si="3"/>
        <v>4</v>
      </c>
      <c r="B9" s="4" t="s">
        <v>158</v>
      </c>
      <c r="C9" s="1">
        <v>23.873999999999999</v>
      </c>
      <c r="D9" s="1">
        <v>0</v>
      </c>
      <c r="E9" s="1">
        <f t="shared" si="0"/>
        <v>23.873999999999999</v>
      </c>
      <c r="F9" s="7">
        <v>4.4200000000000003E-2</v>
      </c>
      <c r="G9" s="1">
        <f t="shared" si="1"/>
        <v>24.978028876333962</v>
      </c>
      <c r="H9" s="2"/>
      <c r="I9" s="1">
        <v>0</v>
      </c>
      <c r="J9" s="2"/>
      <c r="K9" s="2"/>
      <c r="L9" s="1">
        <v>0.52960707387180206</v>
      </c>
      <c r="M9" s="1">
        <f t="shared" si="2"/>
        <v>25.507635950205763</v>
      </c>
      <c r="N9" s="10">
        <v>14.612505955194356</v>
      </c>
      <c r="O9" s="43">
        <f t="shared" si="4"/>
        <v>10.895129995011407</v>
      </c>
    </row>
    <row r="10" spans="1:15" ht="16.5" customHeight="1" x14ac:dyDescent="0.25">
      <c r="A10" s="2">
        <f t="shared" si="3"/>
        <v>5</v>
      </c>
      <c r="B10" s="4" t="s">
        <v>155</v>
      </c>
      <c r="C10" s="1">
        <v>18.689</v>
      </c>
      <c r="D10" s="15"/>
      <c r="E10" s="1">
        <f t="shared" si="0"/>
        <v>18.689</v>
      </c>
      <c r="F10" s="7">
        <v>4.4200000000000003E-2</v>
      </c>
      <c r="G10" s="1">
        <f t="shared" si="1"/>
        <v>19.553253818790541</v>
      </c>
      <c r="H10" s="2"/>
      <c r="I10" s="1">
        <v>0</v>
      </c>
      <c r="J10" s="2"/>
      <c r="K10" s="2"/>
      <c r="L10" s="1">
        <v>0.63500000000000001</v>
      </c>
      <c r="M10" s="1">
        <f t="shared" si="2"/>
        <v>20.188253818790542</v>
      </c>
      <c r="N10" s="10">
        <v>32.041583969378756</v>
      </c>
      <c r="O10" s="43">
        <f t="shared" si="4"/>
        <v>-11.853330150588214</v>
      </c>
    </row>
    <row r="11" spans="1:15" ht="16.5" customHeight="1" x14ac:dyDescent="0.25">
      <c r="A11" s="2">
        <f t="shared" si="3"/>
        <v>6</v>
      </c>
      <c r="B11" s="4" t="s">
        <v>162</v>
      </c>
      <c r="C11" s="1">
        <v>17.498000000000001</v>
      </c>
      <c r="D11" s="15"/>
      <c r="E11" s="1">
        <f t="shared" si="0"/>
        <v>17.498000000000001</v>
      </c>
      <c r="F11" s="7">
        <v>4.4200000000000003E-2</v>
      </c>
      <c r="G11" s="1">
        <f t="shared" si="1"/>
        <v>18.307177233730908</v>
      </c>
      <c r="H11" s="2"/>
      <c r="I11" s="1">
        <v>0</v>
      </c>
      <c r="J11" s="2"/>
      <c r="K11" s="2"/>
      <c r="L11" s="1">
        <v>0.70899999999999996</v>
      </c>
      <c r="M11" s="1">
        <f t="shared" si="2"/>
        <v>19.016177233730907</v>
      </c>
      <c r="N11" s="10">
        <v>3.7987539752389745</v>
      </c>
      <c r="O11" s="43">
        <f t="shared" si="4"/>
        <v>15.217423258491934</v>
      </c>
    </row>
    <row r="12" spans="1:15" ht="16.5" customHeight="1" x14ac:dyDescent="0.25">
      <c r="A12" s="2">
        <f t="shared" si="3"/>
        <v>7</v>
      </c>
      <c r="B12" s="4" t="s">
        <v>104</v>
      </c>
      <c r="C12" s="1">
        <v>9.6929999999999996</v>
      </c>
      <c r="D12" s="9">
        <v>3.3530000000000002</v>
      </c>
      <c r="E12" s="1">
        <f t="shared" si="0"/>
        <v>13.045999999999999</v>
      </c>
      <c r="F12" s="7">
        <v>4.4200000000000003E-2</v>
      </c>
      <c r="G12" s="1">
        <f t="shared" si="1"/>
        <v>13.649299016530655</v>
      </c>
      <c r="H12" s="2"/>
      <c r="I12" s="1">
        <v>0</v>
      </c>
      <c r="J12" s="2"/>
      <c r="K12" s="2"/>
      <c r="L12" s="1">
        <v>1.046590227201031</v>
      </c>
      <c r="M12" s="1">
        <f t="shared" si="2"/>
        <v>14.695889243731687</v>
      </c>
      <c r="N12" s="10">
        <v>2.5247746594017761</v>
      </c>
      <c r="O12" s="43">
        <f t="shared" si="4"/>
        <v>12.17111458432991</v>
      </c>
    </row>
    <row r="13" spans="1:15" ht="16.5" customHeight="1" x14ac:dyDescent="0.25">
      <c r="A13" s="2">
        <f t="shared" si="3"/>
        <v>8</v>
      </c>
      <c r="B13" s="4" t="s">
        <v>178</v>
      </c>
      <c r="C13" s="1">
        <v>12.268000000000001</v>
      </c>
      <c r="D13" s="15"/>
      <c r="E13" s="1">
        <f t="shared" si="0"/>
        <v>12.268000000000001</v>
      </c>
      <c r="F13" s="7">
        <v>4.4200000000000003E-2</v>
      </c>
      <c r="G13" s="1">
        <f t="shared" si="1"/>
        <v>12.835321196903118</v>
      </c>
      <c r="H13" s="2"/>
      <c r="I13" s="1">
        <v>0</v>
      </c>
      <c r="J13" s="2"/>
      <c r="K13" s="2"/>
      <c r="L13" s="1">
        <v>0.63500000000000001</v>
      </c>
      <c r="M13" s="1">
        <f t="shared" si="2"/>
        <v>13.470321196903118</v>
      </c>
      <c r="N13" s="10">
        <v>10.197907742422219</v>
      </c>
      <c r="O13" s="43">
        <f t="shared" si="4"/>
        <v>3.2724134544808994</v>
      </c>
    </row>
    <row r="14" spans="1:15" ht="16.5" customHeight="1" x14ac:dyDescent="0.25">
      <c r="A14" s="2">
        <f t="shared" si="3"/>
        <v>9</v>
      </c>
      <c r="B14" s="4" t="s">
        <v>177</v>
      </c>
      <c r="C14" s="1">
        <v>11.683</v>
      </c>
      <c r="D14" s="1">
        <v>0</v>
      </c>
      <c r="E14" s="1">
        <f t="shared" si="0"/>
        <v>11.683</v>
      </c>
      <c r="F14" s="7">
        <v>4.4200000000000003E-2</v>
      </c>
      <c r="G14" s="1">
        <f t="shared" si="1"/>
        <v>12.223268466206319</v>
      </c>
      <c r="H14" s="2"/>
      <c r="I14" s="1">
        <v>0</v>
      </c>
      <c r="J14" s="2"/>
      <c r="K14" s="2"/>
      <c r="L14" s="1">
        <v>0.52960707387180206</v>
      </c>
      <c r="M14" s="1">
        <f t="shared" si="2"/>
        <v>12.75287554007812</v>
      </c>
      <c r="N14" s="10">
        <v>10.848721259318337</v>
      </c>
      <c r="O14" s="43">
        <f t="shared" si="4"/>
        <v>1.9041542807597835</v>
      </c>
    </row>
    <row r="15" spans="1:15" ht="16.5" customHeight="1" x14ac:dyDescent="0.25">
      <c r="A15" s="2">
        <f t="shared" si="3"/>
        <v>10</v>
      </c>
      <c r="B15" s="4" t="s">
        <v>156</v>
      </c>
      <c r="C15" s="1">
        <v>11.401999999999999</v>
      </c>
      <c r="D15" s="15"/>
      <c r="E15" s="1">
        <f t="shared" si="0"/>
        <v>11.401999999999999</v>
      </c>
      <c r="F15" s="7">
        <v>4.4200000000000003E-2</v>
      </c>
      <c r="G15" s="1">
        <f t="shared" si="1"/>
        <v>11.929273906675036</v>
      </c>
      <c r="H15" s="2"/>
      <c r="I15" s="1">
        <v>0</v>
      </c>
      <c r="J15" s="2"/>
      <c r="K15" s="2"/>
      <c r="L15" s="1">
        <v>0.63500000000000001</v>
      </c>
      <c r="M15" s="1">
        <f t="shared" si="2"/>
        <v>12.564273906675036</v>
      </c>
      <c r="N15" s="10">
        <v>25.935287800828558</v>
      </c>
      <c r="O15" s="43">
        <f t="shared" si="4"/>
        <v>-13.371013894153522</v>
      </c>
    </row>
    <row r="16" spans="1:15" ht="16.5" customHeight="1" x14ac:dyDescent="0.25">
      <c r="A16" s="2">
        <f t="shared" si="3"/>
        <v>11</v>
      </c>
      <c r="B16" s="4" t="s">
        <v>161</v>
      </c>
      <c r="C16" s="1">
        <v>11.266</v>
      </c>
      <c r="D16" s="15"/>
      <c r="E16" s="1">
        <f t="shared" si="0"/>
        <v>11.266</v>
      </c>
      <c r="F16" s="7">
        <v>4.4200000000000003E-2</v>
      </c>
      <c r="G16" s="1">
        <f t="shared" si="1"/>
        <v>11.786984724837833</v>
      </c>
      <c r="H16" s="2"/>
      <c r="I16" s="1">
        <v>0</v>
      </c>
      <c r="J16" s="2"/>
      <c r="K16" s="2"/>
      <c r="L16" s="1">
        <v>0.70899999999999996</v>
      </c>
      <c r="M16" s="1">
        <f t="shared" si="2"/>
        <v>12.495984724837832</v>
      </c>
      <c r="N16" s="10">
        <v>38.017056678592432</v>
      </c>
      <c r="O16" s="43">
        <f t="shared" si="4"/>
        <v>-25.5210719537546</v>
      </c>
    </row>
    <row r="17" spans="1:15" x14ac:dyDescent="0.25">
      <c r="A17" s="2">
        <f t="shared" si="3"/>
        <v>12</v>
      </c>
      <c r="B17" s="4" t="s">
        <v>159</v>
      </c>
      <c r="C17" s="1">
        <v>10.859</v>
      </c>
      <c r="D17" s="1">
        <v>0</v>
      </c>
      <c r="E17" s="1">
        <f t="shared" si="0"/>
        <v>10.859</v>
      </c>
      <c r="F17" s="7">
        <v>4.4200000000000003E-2</v>
      </c>
      <c r="G17" s="1">
        <f t="shared" si="1"/>
        <v>11.361163423310316</v>
      </c>
      <c r="H17" s="2"/>
      <c r="I17" s="1">
        <v>0</v>
      </c>
      <c r="J17" s="2"/>
      <c r="K17" s="2"/>
      <c r="L17" s="1">
        <v>0.52960707387180206</v>
      </c>
      <c r="M17" s="1">
        <f t="shared" si="2"/>
        <v>11.890770497182118</v>
      </c>
      <c r="N17" s="10">
        <v>5.7807333403831809</v>
      </c>
      <c r="O17" s="43">
        <f t="shared" si="4"/>
        <v>6.1100371567989367</v>
      </c>
    </row>
    <row r="18" spans="1:15" ht="18.75" customHeight="1" x14ac:dyDescent="0.25">
      <c r="A18" s="2">
        <f t="shared" si="3"/>
        <v>13</v>
      </c>
      <c r="B18" s="4" t="s">
        <v>105</v>
      </c>
      <c r="C18" s="1">
        <v>9.5779999999999994</v>
      </c>
      <c r="D18" s="9">
        <v>0</v>
      </c>
      <c r="E18" s="1">
        <f t="shared" si="0"/>
        <v>9.5779999999999994</v>
      </c>
      <c r="F18" s="7">
        <v>4.4200000000000003E-2</v>
      </c>
      <c r="G18" s="1">
        <f t="shared" si="1"/>
        <v>10.020924879681941</v>
      </c>
      <c r="H18" s="2"/>
      <c r="I18" s="1">
        <v>0</v>
      </c>
      <c r="J18" s="2"/>
      <c r="K18" s="2"/>
      <c r="L18" s="1">
        <v>0.85915096311475081</v>
      </c>
      <c r="M18" s="1">
        <f t="shared" si="2"/>
        <v>10.880075842796691</v>
      </c>
      <c r="N18" s="10">
        <v>2.2158952199556206</v>
      </c>
      <c r="O18" s="43">
        <f t="shared" si="4"/>
        <v>8.6641806228410694</v>
      </c>
    </row>
    <row r="19" spans="1:15" x14ac:dyDescent="0.25">
      <c r="A19" s="2">
        <f t="shared" si="3"/>
        <v>14</v>
      </c>
      <c r="B19" s="4" t="s">
        <v>181</v>
      </c>
      <c r="C19" s="1">
        <v>8.9149999999999991</v>
      </c>
      <c r="D19" s="9">
        <v>0</v>
      </c>
      <c r="E19" s="1">
        <f t="shared" si="0"/>
        <v>8.9149999999999991</v>
      </c>
      <c r="F19" s="7">
        <v>4.4200000000000003E-2</v>
      </c>
      <c r="G19" s="1">
        <f t="shared" si="1"/>
        <v>9.3272651182255704</v>
      </c>
      <c r="H19" s="2"/>
      <c r="I19" s="1">
        <v>0</v>
      </c>
      <c r="J19" s="2"/>
      <c r="K19" s="2"/>
      <c r="L19" s="1">
        <v>1.046590227201031</v>
      </c>
      <c r="M19" s="1">
        <f t="shared" si="2"/>
        <v>10.373855345426602</v>
      </c>
      <c r="N19" s="10">
        <v>2.5422866784423412</v>
      </c>
      <c r="O19" s="43">
        <f t="shared" si="4"/>
        <v>7.8315686669842606</v>
      </c>
    </row>
    <row r="20" spans="1:15" ht="16.5" customHeight="1" x14ac:dyDescent="0.25">
      <c r="A20" s="2">
        <f t="shared" si="3"/>
        <v>15</v>
      </c>
      <c r="B20" s="4" t="s">
        <v>242</v>
      </c>
      <c r="C20" s="1">
        <v>9.1890000000000001</v>
      </c>
      <c r="D20" s="15"/>
      <c r="E20" s="1">
        <f t="shared" si="0"/>
        <v>9.1890000000000001</v>
      </c>
      <c r="F20" s="7">
        <v>4.4200000000000003E-2</v>
      </c>
      <c r="G20" s="1">
        <f t="shared" si="1"/>
        <v>9.613935969868173</v>
      </c>
      <c r="H20" s="2"/>
      <c r="I20" s="1">
        <v>0</v>
      </c>
      <c r="J20" s="2"/>
      <c r="K20" s="2"/>
      <c r="L20" s="1">
        <v>0.70899999999999996</v>
      </c>
      <c r="M20" s="1">
        <f t="shared" si="2"/>
        <v>10.322935969868173</v>
      </c>
      <c r="N20" s="10">
        <v>3.7064831540975911</v>
      </c>
      <c r="O20" s="43">
        <f t="shared" si="4"/>
        <v>6.6164528157705815</v>
      </c>
    </row>
    <row r="21" spans="1:15" ht="16.5" customHeight="1" x14ac:dyDescent="0.25">
      <c r="A21" s="2">
        <f t="shared" si="3"/>
        <v>16</v>
      </c>
      <c r="B21" s="4" t="s">
        <v>182</v>
      </c>
      <c r="C21" s="1">
        <v>8.9540000000000006</v>
      </c>
      <c r="D21" s="9"/>
      <c r="E21" s="1">
        <f t="shared" si="0"/>
        <v>8.9540000000000006</v>
      </c>
      <c r="F21" s="7">
        <v>4.4200000000000003E-2</v>
      </c>
      <c r="G21" s="1">
        <f t="shared" si="1"/>
        <v>9.3680686336053576</v>
      </c>
      <c r="H21" s="2"/>
      <c r="I21" s="1">
        <v>0</v>
      </c>
      <c r="J21" s="2"/>
      <c r="K21" s="2"/>
      <c r="L21" s="1">
        <v>0.85915096311475081</v>
      </c>
      <c r="M21" s="1">
        <f t="shared" si="2"/>
        <v>10.227219596720108</v>
      </c>
      <c r="N21" s="10">
        <v>4.9576545279179003</v>
      </c>
      <c r="O21" s="43">
        <f t="shared" si="4"/>
        <v>5.2695650688022075</v>
      </c>
    </row>
    <row r="22" spans="1:15" ht="30.75" customHeight="1" x14ac:dyDescent="0.25">
      <c r="A22" s="2">
        <f t="shared" si="3"/>
        <v>17</v>
      </c>
      <c r="B22" s="13" t="s">
        <v>295</v>
      </c>
      <c r="C22" s="1">
        <v>3.4119999999999999</v>
      </c>
      <c r="D22" s="1">
        <v>0</v>
      </c>
      <c r="E22" s="1">
        <f t="shared" si="0"/>
        <v>3.4119999999999999</v>
      </c>
      <c r="F22" s="7">
        <v>4.4200000000000003E-2</v>
      </c>
      <c r="G22" s="1">
        <f t="shared" si="1"/>
        <v>3.5697844737392761</v>
      </c>
      <c r="H22" s="2"/>
      <c r="I22" s="1"/>
      <c r="J22" s="1">
        <v>0</v>
      </c>
      <c r="K22" s="2"/>
      <c r="L22" s="1">
        <v>3.3963081131187538</v>
      </c>
      <c r="M22" s="1">
        <f t="shared" si="2"/>
        <v>6.9660925868580303</v>
      </c>
      <c r="N22" s="10">
        <v>4.8270345231061063</v>
      </c>
      <c r="O22" s="43">
        <f t="shared" si="4"/>
        <v>2.1390580637519241</v>
      </c>
    </row>
    <row r="23" spans="1:15" ht="16.5" customHeight="1" x14ac:dyDescent="0.25">
      <c r="A23" s="2">
        <f t="shared" si="3"/>
        <v>18</v>
      </c>
      <c r="B23" s="4" t="s">
        <v>117</v>
      </c>
      <c r="C23" s="1">
        <v>3.94</v>
      </c>
      <c r="D23" s="9">
        <v>2.1999999999999999E-2</v>
      </c>
      <c r="E23" s="1">
        <f t="shared" si="0"/>
        <v>3.9619999999999997</v>
      </c>
      <c r="F23" s="7">
        <v>4.4200000000000003E-2</v>
      </c>
      <c r="G23" s="1">
        <f t="shared" si="1"/>
        <v>4.1452186649926759</v>
      </c>
      <c r="H23" s="2"/>
      <c r="I23" s="1">
        <v>0</v>
      </c>
      <c r="J23" s="1">
        <v>9.6000000000000002E-2</v>
      </c>
      <c r="K23" s="2"/>
      <c r="L23" s="1">
        <v>1.9962858589939085</v>
      </c>
      <c r="M23" s="1">
        <f t="shared" si="2"/>
        <v>6.2375045239865843</v>
      </c>
      <c r="N23" s="10">
        <v>1.7179761868592658</v>
      </c>
      <c r="O23" s="43">
        <f t="shared" si="4"/>
        <v>4.5195283371273183</v>
      </c>
    </row>
    <row r="24" spans="1:15" ht="16.5" customHeight="1" x14ac:dyDescent="0.25">
      <c r="A24" s="2">
        <f t="shared" si="3"/>
        <v>19</v>
      </c>
      <c r="B24" s="4" t="s">
        <v>169</v>
      </c>
      <c r="C24" s="1">
        <v>3.1190000000000002</v>
      </c>
      <c r="D24" s="9">
        <v>3.2000000000000001E-2</v>
      </c>
      <c r="E24" s="1">
        <f t="shared" si="0"/>
        <v>3.1510000000000002</v>
      </c>
      <c r="F24" s="7">
        <v>4.4200000000000003E-2</v>
      </c>
      <c r="G24" s="1">
        <f t="shared" si="1"/>
        <v>3.2967147938899353</v>
      </c>
      <c r="H24" s="2">
        <v>0.15</v>
      </c>
      <c r="I24" s="1">
        <v>5.8995000000000006E-2</v>
      </c>
      <c r="J24" s="2">
        <v>0.65</v>
      </c>
      <c r="K24" s="2"/>
      <c r="L24" s="1">
        <v>2.0601461379581085</v>
      </c>
      <c r="M24" s="1">
        <f t="shared" si="2"/>
        <v>6.2158559318480435</v>
      </c>
      <c r="N24" s="10">
        <v>2.6636987241167445</v>
      </c>
      <c r="O24" s="43">
        <f t="shared" si="4"/>
        <v>3.5521572077312991</v>
      </c>
    </row>
    <row r="25" spans="1:15" ht="15.75" customHeight="1" x14ac:dyDescent="0.25">
      <c r="A25" s="2">
        <f t="shared" si="3"/>
        <v>20</v>
      </c>
      <c r="B25" s="4" t="s">
        <v>146</v>
      </c>
      <c r="C25" s="1">
        <v>4.1580000000000004</v>
      </c>
      <c r="D25" s="1">
        <v>3.1E-2</v>
      </c>
      <c r="E25" s="1">
        <f t="shared" si="0"/>
        <v>4.1890000000000001</v>
      </c>
      <c r="F25" s="7">
        <v>4.4200000000000003E-2</v>
      </c>
      <c r="G25" s="1">
        <f t="shared" si="1"/>
        <v>4.382716049382716</v>
      </c>
      <c r="H25" s="2"/>
      <c r="I25" s="1">
        <v>0</v>
      </c>
      <c r="J25" s="2"/>
      <c r="K25" s="2"/>
      <c r="L25" s="1">
        <v>1.56</v>
      </c>
      <c r="M25" s="1">
        <f t="shared" si="2"/>
        <v>5.9427160493827156</v>
      </c>
      <c r="N25" s="10">
        <v>2.3967263434805095</v>
      </c>
      <c r="O25" s="43">
        <f t="shared" si="4"/>
        <v>3.5459897059022061</v>
      </c>
    </row>
    <row r="26" spans="1:15" ht="16.5" customHeight="1" x14ac:dyDescent="0.25">
      <c r="A26" s="2">
        <f t="shared" si="3"/>
        <v>21</v>
      </c>
      <c r="B26" s="4" t="s">
        <v>175</v>
      </c>
      <c r="C26" s="1">
        <v>3.2010000000000001</v>
      </c>
      <c r="D26" s="9">
        <v>-2.3E-2</v>
      </c>
      <c r="E26" s="1">
        <f t="shared" si="0"/>
        <v>3.1779999999999999</v>
      </c>
      <c r="F26" s="7">
        <v>4.4200000000000003E-2</v>
      </c>
      <c r="G26" s="1">
        <f t="shared" si="1"/>
        <v>3.3249633814605568</v>
      </c>
      <c r="H26" s="2">
        <v>0.15</v>
      </c>
      <c r="I26" s="1">
        <v>5.2784999999999999E-2</v>
      </c>
      <c r="J26" s="1">
        <v>6.2E-2</v>
      </c>
      <c r="K26" s="2"/>
      <c r="L26" s="1">
        <v>2.0731460875671606</v>
      </c>
      <c r="M26" s="1">
        <f t="shared" si="2"/>
        <v>5.6628944690277176</v>
      </c>
      <c r="N26" s="10">
        <v>6.2452649995863156</v>
      </c>
      <c r="O26" s="43">
        <f t="shared" si="4"/>
        <v>-0.582370530558598</v>
      </c>
    </row>
    <row r="27" spans="1:15" ht="16.5" customHeight="1" x14ac:dyDescent="0.25">
      <c r="A27" s="2">
        <f t="shared" si="3"/>
        <v>22</v>
      </c>
      <c r="B27" s="4" t="s">
        <v>135</v>
      </c>
      <c r="C27" s="1">
        <v>3.3860000000000001</v>
      </c>
      <c r="D27" s="1">
        <v>0.19298999999999999</v>
      </c>
      <c r="E27" s="1">
        <f t="shared" si="0"/>
        <v>3.5789900000000001</v>
      </c>
      <c r="F27" s="7">
        <v>4.4200000000000003E-2</v>
      </c>
      <c r="G27" s="1">
        <f t="shared" si="1"/>
        <v>3.7444967566436493</v>
      </c>
      <c r="H27" s="2"/>
      <c r="I27" s="1">
        <v>0</v>
      </c>
      <c r="J27" s="2">
        <v>0.7</v>
      </c>
      <c r="K27" s="2"/>
      <c r="L27" s="1">
        <v>1.1206832154238848</v>
      </c>
      <c r="M27" s="1">
        <f t="shared" si="2"/>
        <v>5.5651799720675337</v>
      </c>
      <c r="N27" s="10">
        <v>3.4828769135788784</v>
      </c>
      <c r="O27" s="43">
        <f t="shared" si="4"/>
        <v>2.0823030584886553</v>
      </c>
    </row>
    <row r="28" spans="1:15" ht="16.5" customHeight="1" x14ac:dyDescent="0.25">
      <c r="A28" s="2">
        <f t="shared" si="3"/>
        <v>23</v>
      </c>
      <c r="B28" s="4" t="s">
        <v>168</v>
      </c>
      <c r="C28" s="1">
        <v>2.9660000000000002</v>
      </c>
      <c r="D28" s="1">
        <v>0</v>
      </c>
      <c r="E28" s="1">
        <f t="shared" si="0"/>
        <v>2.9660000000000002</v>
      </c>
      <c r="F28" s="7">
        <v>4.4200000000000003E-2</v>
      </c>
      <c r="G28" s="1">
        <f t="shared" si="1"/>
        <v>3.1031596568319735</v>
      </c>
      <c r="H28" s="2"/>
      <c r="I28" s="1">
        <v>0</v>
      </c>
      <c r="J28" s="2"/>
      <c r="K28" s="2"/>
      <c r="L28" s="1">
        <v>2.2494752521182821</v>
      </c>
      <c r="M28" s="1">
        <f t="shared" si="2"/>
        <v>5.3526349089502556</v>
      </c>
      <c r="N28" s="10">
        <v>3.5840452621729897</v>
      </c>
      <c r="O28" s="43">
        <f t="shared" si="4"/>
        <v>1.7685896467772659</v>
      </c>
    </row>
    <row r="29" spans="1:15" ht="16.5" customHeight="1" x14ac:dyDescent="0.25">
      <c r="A29" s="2">
        <f t="shared" si="3"/>
        <v>24</v>
      </c>
      <c r="B29" s="4" t="s">
        <v>153</v>
      </c>
      <c r="C29" s="1">
        <v>3.173</v>
      </c>
      <c r="D29" s="1">
        <v>0.158</v>
      </c>
      <c r="E29" s="1">
        <f t="shared" si="0"/>
        <v>3.331</v>
      </c>
      <c r="F29" s="7">
        <v>4.4200000000000003E-2</v>
      </c>
      <c r="G29" s="1">
        <f t="shared" si="1"/>
        <v>3.4850387110274115</v>
      </c>
      <c r="H29" s="2"/>
      <c r="I29" s="1">
        <v>0</v>
      </c>
      <c r="J29" s="1">
        <v>6.6000000000000003E-2</v>
      </c>
      <c r="K29" s="2"/>
      <c r="L29" s="1">
        <v>1.6577600990616079</v>
      </c>
      <c r="M29" s="1">
        <f t="shared" si="2"/>
        <v>5.2087988100890197</v>
      </c>
      <c r="N29" s="10">
        <v>3.3512485294887413</v>
      </c>
      <c r="O29" s="43">
        <f t="shared" si="4"/>
        <v>1.8575502806002784</v>
      </c>
    </row>
    <row r="30" spans="1:15" ht="16.5" customHeight="1" x14ac:dyDescent="0.25">
      <c r="A30" s="2">
        <f t="shared" si="3"/>
        <v>25</v>
      </c>
      <c r="B30" s="4" t="s">
        <v>245</v>
      </c>
      <c r="C30" s="1">
        <v>2.851</v>
      </c>
      <c r="D30" s="1">
        <v>6.3E-2</v>
      </c>
      <c r="E30" s="1">
        <f t="shared" si="0"/>
        <v>2.9140000000000001</v>
      </c>
      <c r="F30" s="7">
        <v>4.4200000000000003E-2</v>
      </c>
      <c r="G30" s="1">
        <f t="shared" si="1"/>
        <v>3.0487549696589245</v>
      </c>
      <c r="H30" s="2"/>
      <c r="I30" s="1">
        <v>0</v>
      </c>
      <c r="J30" s="2"/>
      <c r="K30" s="1">
        <v>0.23258999999999999</v>
      </c>
      <c r="L30" s="1">
        <v>1.7669774010626034</v>
      </c>
      <c r="M30" s="1">
        <f t="shared" si="2"/>
        <v>5.0483223707215279</v>
      </c>
      <c r="N30" s="10">
        <v>4.0635438373218609</v>
      </c>
      <c r="O30" s="43">
        <f t="shared" si="4"/>
        <v>0.98477853339966703</v>
      </c>
    </row>
    <row r="31" spans="1:15" ht="16.5" customHeight="1" x14ac:dyDescent="0.25">
      <c r="A31" s="2">
        <f t="shared" si="3"/>
        <v>26</v>
      </c>
      <c r="B31" s="4" t="s">
        <v>18</v>
      </c>
      <c r="C31" s="1">
        <v>3.226</v>
      </c>
      <c r="D31" s="1">
        <v>-3.5999999999999997E-2</v>
      </c>
      <c r="E31" s="1">
        <f t="shared" si="0"/>
        <v>3.19</v>
      </c>
      <c r="F31" s="7">
        <v>4.4200000000000003E-2</v>
      </c>
      <c r="G31" s="1">
        <f t="shared" si="1"/>
        <v>3.3375183092697216</v>
      </c>
      <c r="H31" s="2"/>
      <c r="I31" s="1">
        <v>0</v>
      </c>
      <c r="J31" s="2"/>
      <c r="K31" s="2"/>
      <c r="L31" s="1">
        <v>1.6931572396408874</v>
      </c>
      <c r="M31" s="1">
        <f t="shared" si="2"/>
        <v>5.030675548910609</v>
      </c>
      <c r="N31" s="10">
        <v>3.8868700237467388</v>
      </c>
      <c r="O31" s="43">
        <f>M31-N31</f>
        <v>1.1438055251638701</v>
      </c>
    </row>
    <row r="32" spans="1:15" ht="16.5" customHeight="1" x14ac:dyDescent="0.25">
      <c r="A32" s="2">
        <f t="shared" si="3"/>
        <v>27</v>
      </c>
      <c r="B32" s="4" t="s">
        <v>103</v>
      </c>
      <c r="C32" s="1">
        <v>3.1520000000000001</v>
      </c>
      <c r="D32" s="1">
        <v>-3.49E-2</v>
      </c>
      <c r="E32" s="1">
        <f t="shared" si="0"/>
        <v>3.1171000000000002</v>
      </c>
      <c r="F32" s="7">
        <v>4.4200000000000003E-2</v>
      </c>
      <c r="G32" s="1">
        <f t="shared" si="1"/>
        <v>3.2612471228290438</v>
      </c>
      <c r="H32" s="2"/>
      <c r="I32" s="1">
        <v>0</v>
      </c>
      <c r="J32" s="2">
        <v>7.0999999999999994E-2</v>
      </c>
      <c r="K32" s="2"/>
      <c r="L32" s="1">
        <v>1.5812064046246714</v>
      </c>
      <c r="M32" s="1">
        <f t="shared" si="2"/>
        <v>4.913453527453715</v>
      </c>
      <c r="N32" s="10">
        <v>2.8001556111806423</v>
      </c>
      <c r="O32" s="43">
        <f>M32-N32</f>
        <v>2.1132979162730727</v>
      </c>
    </row>
    <row r="33" spans="1:15" ht="16.5" customHeight="1" x14ac:dyDescent="0.25">
      <c r="A33" s="2">
        <f t="shared" si="3"/>
        <v>28</v>
      </c>
      <c r="B33" s="4" t="s">
        <v>133</v>
      </c>
      <c r="C33" s="1">
        <v>3.339</v>
      </c>
      <c r="D33" s="1">
        <v>0.11899999999999999</v>
      </c>
      <c r="E33" s="1">
        <f t="shared" si="0"/>
        <v>3.4580000000000002</v>
      </c>
      <c r="F33" s="7">
        <v>4.4200000000000003E-2</v>
      </c>
      <c r="G33" s="1">
        <f t="shared" si="1"/>
        <v>3.6179116970077425</v>
      </c>
      <c r="H33" s="2"/>
      <c r="I33" s="1">
        <v>0</v>
      </c>
      <c r="J33" s="1">
        <v>7.0999999999999994E-2</v>
      </c>
      <c r="K33" s="2"/>
      <c r="L33" s="1">
        <v>1.2090519383025429</v>
      </c>
      <c r="M33" s="1">
        <f t="shared" si="2"/>
        <v>4.8979636353102851</v>
      </c>
      <c r="N33" s="10">
        <v>10.381507300792656</v>
      </c>
      <c r="O33" s="43">
        <f t="shared" ref="O33:O56" si="5">M33-N33</f>
        <v>-5.4835436654823706</v>
      </c>
    </row>
    <row r="34" spans="1:15" ht="16.5" customHeight="1" x14ac:dyDescent="0.25">
      <c r="A34" s="2">
        <f t="shared" si="3"/>
        <v>29</v>
      </c>
      <c r="B34" s="13" t="s">
        <v>150</v>
      </c>
      <c r="C34" s="1">
        <v>3.72</v>
      </c>
      <c r="D34" s="1">
        <v>0.16500000000000001</v>
      </c>
      <c r="E34" s="1">
        <f t="shared" si="0"/>
        <v>3.8850000000000002</v>
      </c>
      <c r="F34" s="7">
        <v>4.4200000000000003E-2</v>
      </c>
      <c r="G34" s="1">
        <f t="shared" si="1"/>
        <v>4.0646578782172007</v>
      </c>
      <c r="H34" s="2"/>
      <c r="I34" s="1">
        <v>0</v>
      </c>
      <c r="J34" s="1">
        <v>0.06</v>
      </c>
      <c r="K34" s="2"/>
      <c r="L34" s="1">
        <v>0.65153793249911163</v>
      </c>
      <c r="M34" s="1">
        <f t="shared" si="2"/>
        <v>4.7761958107163123</v>
      </c>
      <c r="N34" s="10">
        <v>12.270326658322904</v>
      </c>
      <c r="O34" s="43">
        <f t="shared" si="5"/>
        <v>-7.4941308476065922</v>
      </c>
    </row>
    <row r="35" spans="1:15" ht="16.5" customHeight="1" x14ac:dyDescent="0.25">
      <c r="A35" s="2">
        <f t="shared" si="3"/>
        <v>30</v>
      </c>
      <c r="B35" s="4" t="s">
        <v>134</v>
      </c>
      <c r="C35" s="1">
        <v>3.35</v>
      </c>
      <c r="D35" s="1">
        <v>0.115</v>
      </c>
      <c r="E35" s="1">
        <f t="shared" si="0"/>
        <v>3.4650000000000003</v>
      </c>
      <c r="F35" s="7">
        <v>4.4200000000000003E-2</v>
      </c>
      <c r="G35" s="1">
        <f t="shared" si="1"/>
        <v>3.6252354048964222</v>
      </c>
      <c r="H35" s="2"/>
      <c r="I35" s="1">
        <v>0</v>
      </c>
      <c r="J35" s="2">
        <v>7.3999999999999996E-2</v>
      </c>
      <c r="K35" s="2"/>
      <c r="L35" s="1">
        <v>1.0459097583536401</v>
      </c>
      <c r="M35" s="1">
        <f t="shared" si="2"/>
        <v>4.7451451632500623</v>
      </c>
      <c r="N35" s="10">
        <v>18.958895702962035</v>
      </c>
      <c r="O35" s="43">
        <f t="shared" si="5"/>
        <v>-14.213750539711974</v>
      </c>
    </row>
    <row r="36" spans="1:15" ht="16.5" customHeight="1" x14ac:dyDescent="0.25">
      <c r="A36" s="2">
        <f t="shared" si="3"/>
        <v>31</v>
      </c>
      <c r="B36" s="4" t="s">
        <v>33</v>
      </c>
      <c r="C36" s="1">
        <v>1.984</v>
      </c>
      <c r="D36" s="9">
        <v>-1E-3</v>
      </c>
      <c r="E36" s="1">
        <f t="shared" si="0"/>
        <v>1.9830000000000001</v>
      </c>
      <c r="F36" s="7">
        <v>4.4200000000000003E-2</v>
      </c>
      <c r="G36" s="1">
        <f t="shared" si="1"/>
        <v>2.0747018204645324</v>
      </c>
      <c r="H36" s="2">
        <v>0.15</v>
      </c>
      <c r="I36" s="1">
        <v>5.8719E-2</v>
      </c>
      <c r="J36" s="1">
        <v>3.5999999999999997E-2</v>
      </c>
      <c r="K36" s="2"/>
      <c r="L36" s="1">
        <v>1.6494464476681268</v>
      </c>
      <c r="M36" s="1">
        <f t="shared" si="2"/>
        <v>3.9688672681326591</v>
      </c>
      <c r="N36" s="10">
        <v>2.8095932415519398</v>
      </c>
      <c r="O36" s="43">
        <f t="shared" si="5"/>
        <v>1.1592740265807193</v>
      </c>
    </row>
    <row r="37" spans="1:15" ht="16.5" customHeight="1" x14ac:dyDescent="0.25">
      <c r="A37" s="2">
        <f t="shared" si="3"/>
        <v>32</v>
      </c>
      <c r="B37" s="4" t="s">
        <v>95</v>
      </c>
      <c r="C37" s="1">
        <v>1.8620000000000001</v>
      </c>
      <c r="D37" s="9">
        <v>-1E-3</v>
      </c>
      <c r="E37" s="1">
        <f t="shared" si="0"/>
        <v>1.8610000000000002</v>
      </c>
      <c r="F37" s="7">
        <v>4.4200000000000003E-2</v>
      </c>
      <c r="G37" s="1">
        <f t="shared" si="1"/>
        <v>1.9470600544046874</v>
      </c>
      <c r="H37" s="2">
        <v>0.15</v>
      </c>
      <c r="I37" s="1">
        <v>7.0973400000000006E-2</v>
      </c>
      <c r="J37" s="2"/>
      <c r="K37" s="2"/>
      <c r="L37" s="1">
        <v>1.7249287472344317</v>
      </c>
      <c r="M37" s="1">
        <f t="shared" si="2"/>
        <v>3.8929622016391194</v>
      </c>
      <c r="N37" s="10">
        <v>19.993573216520652</v>
      </c>
      <c r="O37" s="43">
        <f t="shared" si="5"/>
        <v>-16.100611014881533</v>
      </c>
    </row>
    <row r="38" spans="1:15" ht="16.5" customHeight="1" x14ac:dyDescent="0.25">
      <c r="A38" s="2">
        <f t="shared" si="3"/>
        <v>33</v>
      </c>
      <c r="B38" s="4" t="s">
        <v>27</v>
      </c>
      <c r="C38" s="1">
        <v>2.702</v>
      </c>
      <c r="D38" s="9">
        <v>5.799E-2</v>
      </c>
      <c r="E38" s="1">
        <f t="shared" ref="E38:E57" si="6">C38+D38</f>
        <v>2.7599900000000002</v>
      </c>
      <c r="F38" s="7">
        <v>4.4200000000000003E-2</v>
      </c>
      <c r="G38" s="1">
        <f t="shared" ref="G38:G57" si="7">E38/((100%-F38))</f>
        <v>2.8876229336681316</v>
      </c>
      <c r="H38" s="2"/>
      <c r="I38" s="1">
        <v>0</v>
      </c>
      <c r="J38" s="2"/>
      <c r="K38" s="2"/>
      <c r="L38" s="1">
        <v>0.92016615713300831</v>
      </c>
      <c r="M38" s="1">
        <f t="shared" ref="M38:M57" si="8">SUM(G38:L38)</f>
        <v>3.80778909080114</v>
      </c>
      <c r="N38" s="10">
        <v>12.332955778055902</v>
      </c>
      <c r="O38" s="43">
        <f t="shared" si="5"/>
        <v>-8.525166687254762</v>
      </c>
    </row>
    <row r="39" spans="1:15" ht="16.5" customHeight="1" x14ac:dyDescent="0.25">
      <c r="A39" s="2">
        <f t="shared" si="3"/>
        <v>34</v>
      </c>
      <c r="B39" s="4" t="s">
        <v>172</v>
      </c>
      <c r="C39" s="1">
        <v>1.224</v>
      </c>
      <c r="D39" s="1">
        <v>2E-3</v>
      </c>
      <c r="E39" s="1">
        <f t="shared" si="6"/>
        <v>1.226</v>
      </c>
      <c r="F39" s="7">
        <v>4.4200000000000003E-2</v>
      </c>
      <c r="G39" s="1">
        <f t="shared" si="7"/>
        <v>1.282695124503034</v>
      </c>
      <c r="H39" s="2"/>
      <c r="I39" s="1">
        <v>0.11369475000000002</v>
      </c>
      <c r="J39" s="1">
        <v>3.9E-2</v>
      </c>
      <c r="K39" s="2"/>
      <c r="L39" s="1">
        <v>2.2835364224538699</v>
      </c>
      <c r="M39" s="1">
        <f t="shared" si="8"/>
        <v>3.7189262969569041</v>
      </c>
      <c r="N39" s="10">
        <v>10.565120984564039</v>
      </c>
      <c r="O39" s="43">
        <f t="shared" si="5"/>
        <v>-6.8461946876071353</v>
      </c>
    </row>
    <row r="40" spans="1:15" ht="16.5" customHeight="1" x14ac:dyDescent="0.25">
      <c r="A40" s="2">
        <f t="shared" si="3"/>
        <v>35</v>
      </c>
      <c r="B40" s="4" t="s">
        <v>300</v>
      </c>
      <c r="C40" s="1">
        <v>2.0230000000000001</v>
      </c>
      <c r="D40" s="1">
        <v>0</v>
      </c>
      <c r="E40" s="1">
        <f t="shared" si="6"/>
        <v>2.0230000000000001</v>
      </c>
      <c r="F40" s="7">
        <v>4.4200000000000003E-2</v>
      </c>
      <c r="G40" s="1">
        <f t="shared" si="7"/>
        <v>2.1165515798284162</v>
      </c>
      <c r="H40" s="2"/>
      <c r="I40" s="1">
        <v>0</v>
      </c>
      <c r="J40" s="1">
        <v>0</v>
      </c>
      <c r="K40" s="2"/>
      <c r="L40" s="1">
        <v>1.3848414206162407</v>
      </c>
      <c r="M40" s="1">
        <f t="shared" si="8"/>
        <v>3.501393000444657</v>
      </c>
      <c r="N40" s="10">
        <v>2.6676963521362991</v>
      </c>
      <c r="O40" s="43">
        <f t="shared" si="5"/>
        <v>0.83369664830835788</v>
      </c>
    </row>
    <row r="41" spans="1:15" ht="16.5" customHeight="1" x14ac:dyDescent="0.25">
      <c r="A41" s="2">
        <f t="shared" si="3"/>
        <v>36</v>
      </c>
      <c r="B41" s="4" t="s">
        <v>31</v>
      </c>
      <c r="C41" s="1">
        <v>2.113</v>
      </c>
      <c r="D41" s="9">
        <v>1.09E-2</v>
      </c>
      <c r="E41" s="1">
        <f t="shared" si="6"/>
        <v>2.1238999999999999</v>
      </c>
      <c r="F41" s="7">
        <v>4.4200000000000003E-2</v>
      </c>
      <c r="G41" s="1">
        <f t="shared" si="7"/>
        <v>2.2221175978238126</v>
      </c>
      <c r="H41" s="2">
        <v>0.15</v>
      </c>
      <c r="I41" s="1">
        <v>9.1908000000000017E-2</v>
      </c>
      <c r="J41" s="2"/>
      <c r="K41" s="2"/>
      <c r="L41" s="1">
        <v>0.91733520477620856</v>
      </c>
      <c r="M41" s="1">
        <f t="shared" si="8"/>
        <v>3.381360802600021</v>
      </c>
      <c r="N41" s="10">
        <v>25.429481917426244</v>
      </c>
      <c r="O41" s="43">
        <f t="shared" si="5"/>
        <v>-22.048121114826223</v>
      </c>
    </row>
    <row r="42" spans="1:15" ht="16.5" customHeight="1" x14ac:dyDescent="0.25">
      <c r="A42" s="2">
        <f t="shared" si="3"/>
        <v>37</v>
      </c>
      <c r="B42" s="4" t="s">
        <v>30</v>
      </c>
      <c r="C42" s="1">
        <v>2.0070000000000001</v>
      </c>
      <c r="D42" s="9">
        <v>-1E-3</v>
      </c>
      <c r="E42" s="1">
        <f t="shared" si="6"/>
        <v>2.0060000000000002</v>
      </c>
      <c r="F42" s="7">
        <v>4.4200000000000003E-2</v>
      </c>
      <c r="G42" s="1">
        <f t="shared" si="7"/>
        <v>2.0987654320987659</v>
      </c>
      <c r="H42" s="2">
        <v>0.15</v>
      </c>
      <c r="I42" s="1">
        <v>5.8719E-2</v>
      </c>
      <c r="J42" s="1">
        <v>3.5000000000000003E-2</v>
      </c>
      <c r="K42" s="2"/>
      <c r="L42" s="1">
        <v>0.91111985072361856</v>
      </c>
      <c r="M42" s="1">
        <f t="shared" si="8"/>
        <v>3.2536042828223843</v>
      </c>
      <c r="N42" s="10">
        <v>11.65705805426396</v>
      </c>
      <c r="O42" s="43">
        <f t="shared" si="5"/>
        <v>-8.4034537714415762</v>
      </c>
    </row>
    <row r="43" spans="1:15" ht="16.5" customHeight="1" x14ac:dyDescent="0.25">
      <c r="A43" s="2">
        <f t="shared" si="3"/>
        <v>38</v>
      </c>
      <c r="B43" s="4" t="s">
        <v>23</v>
      </c>
      <c r="C43" s="1">
        <v>2.0979999999999999</v>
      </c>
      <c r="D43" s="9">
        <v>0</v>
      </c>
      <c r="E43" s="1">
        <f t="shared" si="6"/>
        <v>2.0979999999999999</v>
      </c>
      <c r="F43" s="7">
        <v>4.4200000000000003E-2</v>
      </c>
      <c r="G43" s="1">
        <f t="shared" si="7"/>
        <v>2.1950198786356978</v>
      </c>
      <c r="H43" s="2"/>
      <c r="I43" s="1">
        <v>0</v>
      </c>
      <c r="J43" s="2"/>
      <c r="K43" s="2"/>
      <c r="L43" s="1">
        <v>1.046590227201031</v>
      </c>
      <c r="M43" s="1">
        <f t="shared" si="8"/>
        <v>3.2416101058367288</v>
      </c>
      <c r="N43" s="10">
        <v>10.015422676708681</v>
      </c>
      <c r="O43" s="43">
        <f t="shared" si="5"/>
        <v>-6.7738125708719519</v>
      </c>
    </row>
    <row r="44" spans="1:15" ht="16.5" customHeight="1" x14ac:dyDescent="0.25">
      <c r="A44" s="2">
        <f t="shared" si="3"/>
        <v>39</v>
      </c>
      <c r="B44" s="4" t="s">
        <v>34</v>
      </c>
      <c r="C44" s="1">
        <v>2.024</v>
      </c>
      <c r="D44" s="9">
        <v>-8.9999999999999998E-4</v>
      </c>
      <c r="E44" s="1">
        <f t="shared" si="6"/>
        <v>2.0230999999999999</v>
      </c>
      <c r="F44" s="7">
        <v>4.4200000000000003E-2</v>
      </c>
      <c r="G44" s="1">
        <f t="shared" si="7"/>
        <v>2.1166562042268255</v>
      </c>
      <c r="H44" s="2">
        <v>0.15</v>
      </c>
      <c r="I44" s="1">
        <v>6.6888599999999993E-2</v>
      </c>
      <c r="J44" s="2">
        <v>3.6999999999999998E-2</v>
      </c>
      <c r="K44" s="2"/>
      <c r="L44" s="1">
        <v>0.78386921953636013</v>
      </c>
      <c r="M44" s="1">
        <f t="shared" si="8"/>
        <v>3.1544140237631852</v>
      </c>
      <c r="N44" s="10">
        <v>5.8684063412599077</v>
      </c>
      <c r="O44" s="43">
        <f t="shared" si="5"/>
        <v>-2.7139923174967224</v>
      </c>
    </row>
    <row r="45" spans="1:15" ht="16.5" customHeight="1" x14ac:dyDescent="0.25">
      <c r="A45" s="2">
        <f t="shared" si="3"/>
        <v>40</v>
      </c>
      <c r="B45" s="4" t="s">
        <v>131</v>
      </c>
      <c r="C45" s="1">
        <v>1.603</v>
      </c>
      <c r="D45" s="1">
        <v>-4.2000000000000003E-2</v>
      </c>
      <c r="E45" s="1">
        <f t="shared" si="6"/>
        <v>1.5609999999999999</v>
      </c>
      <c r="F45" s="7">
        <v>4.4200000000000003E-2</v>
      </c>
      <c r="G45" s="1">
        <f t="shared" si="7"/>
        <v>1.6331868591755596</v>
      </c>
      <c r="H45" s="2"/>
      <c r="I45" s="1">
        <v>0</v>
      </c>
      <c r="J45" s="2"/>
      <c r="K45" s="2"/>
      <c r="L45" s="1">
        <v>1.4694115224666227</v>
      </c>
      <c r="M45" s="1">
        <f t="shared" si="8"/>
        <v>3.1025983816421823</v>
      </c>
      <c r="N45" s="10">
        <v>5.4128044135700968</v>
      </c>
      <c r="O45" s="43">
        <f t="shared" si="5"/>
        <v>-2.3102060319279145</v>
      </c>
    </row>
    <row r="46" spans="1:15" ht="16.5" customHeight="1" x14ac:dyDescent="0.25">
      <c r="A46" s="2">
        <f t="shared" si="3"/>
        <v>41</v>
      </c>
      <c r="B46" s="4" t="s">
        <v>154</v>
      </c>
      <c r="C46" s="1">
        <v>2.085</v>
      </c>
      <c r="D46" s="15"/>
      <c r="E46" s="1">
        <f t="shared" si="6"/>
        <v>2.085</v>
      </c>
      <c r="F46" s="7">
        <v>4.4200000000000003E-2</v>
      </c>
      <c r="G46" s="1">
        <f t="shared" si="7"/>
        <v>2.1814187068424356</v>
      </c>
      <c r="H46" s="2"/>
      <c r="I46" s="1">
        <v>0</v>
      </c>
      <c r="J46" s="2"/>
      <c r="K46" s="2"/>
      <c r="L46" s="1">
        <v>0.63500000000000001</v>
      </c>
      <c r="M46" s="1">
        <f t="shared" si="8"/>
        <v>2.8164187068424358</v>
      </c>
      <c r="N46" s="10">
        <v>4.5610986333752068</v>
      </c>
      <c r="O46" s="43">
        <f t="shared" si="5"/>
        <v>-1.744679926532771</v>
      </c>
    </row>
    <row r="47" spans="1:15" x14ac:dyDescent="0.25">
      <c r="A47" s="2">
        <f t="shared" si="3"/>
        <v>42</v>
      </c>
      <c r="B47" s="4" t="s">
        <v>132</v>
      </c>
      <c r="C47" s="1">
        <v>1.974</v>
      </c>
      <c r="D47" s="1">
        <v>-1.29E-2</v>
      </c>
      <c r="E47" s="1">
        <f t="shared" si="6"/>
        <v>1.9611000000000001</v>
      </c>
      <c r="F47" s="7">
        <v>4.4200000000000003E-2</v>
      </c>
      <c r="G47" s="1">
        <f t="shared" si="7"/>
        <v>2.0517890772128062</v>
      </c>
      <c r="H47" s="2"/>
      <c r="I47" s="1">
        <v>0</v>
      </c>
      <c r="J47" s="2"/>
      <c r="K47" s="2"/>
      <c r="L47" s="1">
        <v>0.76384627104384095</v>
      </c>
      <c r="M47" s="1">
        <f t="shared" si="8"/>
        <v>2.815635348256647</v>
      </c>
      <c r="N47" s="10">
        <v>2.5691175663047141</v>
      </c>
      <c r="O47" s="43">
        <f t="shared" si="5"/>
        <v>0.24651778195193286</v>
      </c>
    </row>
    <row r="48" spans="1:15" x14ac:dyDescent="0.25">
      <c r="A48" s="2">
        <f t="shared" si="3"/>
        <v>43</v>
      </c>
      <c r="B48" s="4" t="s">
        <v>160</v>
      </c>
      <c r="C48" s="1">
        <v>2.0049999999999999</v>
      </c>
      <c r="D48" s="15"/>
      <c r="E48" s="1">
        <f t="shared" si="6"/>
        <v>2.0049999999999999</v>
      </c>
      <c r="F48" s="7">
        <v>4.4200000000000003E-2</v>
      </c>
      <c r="G48" s="1">
        <f t="shared" si="7"/>
        <v>2.0977191881146684</v>
      </c>
      <c r="H48" s="2"/>
      <c r="I48" s="1">
        <v>0</v>
      </c>
      <c r="J48" s="2"/>
      <c r="K48" s="2"/>
      <c r="L48" s="1">
        <v>0.70899999999999996</v>
      </c>
      <c r="M48" s="1">
        <f t="shared" si="8"/>
        <v>2.8067191881146685</v>
      </c>
      <c r="N48" s="10">
        <v>2.5054645114406284</v>
      </c>
      <c r="O48" s="43">
        <f t="shared" si="5"/>
        <v>0.30125467667404005</v>
      </c>
    </row>
    <row r="49" spans="1:15" x14ac:dyDescent="0.25">
      <c r="A49" s="2">
        <f t="shared" si="3"/>
        <v>44</v>
      </c>
      <c r="B49" s="4" t="s">
        <v>157</v>
      </c>
      <c r="C49" s="1">
        <v>2.0499999999999998</v>
      </c>
      <c r="D49" s="15">
        <v>0</v>
      </c>
      <c r="E49" s="1">
        <f t="shared" si="6"/>
        <v>2.0499999999999998</v>
      </c>
      <c r="F49" s="7">
        <v>4.4200000000000003E-2</v>
      </c>
      <c r="G49" s="1">
        <f t="shared" si="7"/>
        <v>2.1448001673990373</v>
      </c>
      <c r="H49" s="2"/>
      <c r="I49" s="1">
        <v>0</v>
      </c>
      <c r="J49" s="2"/>
      <c r="K49" s="2"/>
      <c r="L49" s="1">
        <v>0.52960707387180206</v>
      </c>
      <c r="M49" s="1">
        <f t="shared" si="8"/>
        <v>2.6744072412708393</v>
      </c>
      <c r="N49" s="10">
        <v>3.1725821524207323</v>
      </c>
      <c r="O49" s="43">
        <f t="shared" si="5"/>
        <v>-0.49817491114989298</v>
      </c>
    </row>
    <row r="50" spans="1:15" x14ac:dyDescent="0.25">
      <c r="A50" s="2">
        <f t="shared" si="3"/>
        <v>45</v>
      </c>
      <c r="B50" s="4" t="s">
        <v>29</v>
      </c>
      <c r="C50" s="1">
        <v>1.212</v>
      </c>
      <c r="D50" s="9">
        <v>-7.9900000000000006E-3</v>
      </c>
      <c r="E50" s="1">
        <f t="shared" si="6"/>
        <v>1.20401</v>
      </c>
      <c r="F50" s="7">
        <v>4.4200000000000003E-2</v>
      </c>
      <c r="G50" s="1">
        <f t="shared" si="7"/>
        <v>1.2596882192927392</v>
      </c>
      <c r="H50" s="2"/>
      <c r="I50" s="1">
        <v>0.11823725</v>
      </c>
      <c r="J50" s="1">
        <v>3.4000000000000002E-2</v>
      </c>
      <c r="K50" s="2"/>
      <c r="L50" s="1">
        <v>1.2557147073249215</v>
      </c>
      <c r="M50" s="1">
        <f t="shared" si="8"/>
        <v>2.6676401766176605</v>
      </c>
      <c r="N50" s="10">
        <v>2.7007465630755476</v>
      </c>
      <c r="O50" s="43">
        <f t="shared" si="5"/>
        <v>-3.3106386457887105E-2</v>
      </c>
    </row>
    <row r="51" spans="1:15" x14ac:dyDescent="0.25">
      <c r="A51" s="2">
        <f t="shared" si="3"/>
        <v>46</v>
      </c>
      <c r="B51" s="4" t="s">
        <v>37</v>
      </c>
      <c r="C51" s="1">
        <v>1.292</v>
      </c>
      <c r="D51" s="9">
        <v>9.8999999999999999E-4</v>
      </c>
      <c r="E51" s="1">
        <f t="shared" si="6"/>
        <v>1.2929900000000001</v>
      </c>
      <c r="F51" s="7">
        <v>4.4200000000000003E-2</v>
      </c>
      <c r="G51" s="1">
        <f t="shared" si="7"/>
        <v>1.3527830089976984</v>
      </c>
      <c r="H51" s="2"/>
      <c r="I51" s="1">
        <v>0.11369475</v>
      </c>
      <c r="J51" s="2"/>
      <c r="K51" s="2"/>
      <c r="L51" s="1">
        <v>1.1259323539742558</v>
      </c>
      <c r="M51" s="1">
        <f t="shared" si="8"/>
        <v>2.5924101129719546</v>
      </c>
      <c r="N51" s="10">
        <v>4.9344964790767882</v>
      </c>
      <c r="O51" s="43">
        <f t="shared" si="5"/>
        <v>-2.3420863661048337</v>
      </c>
    </row>
    <row r="52" spans="1:15" x14ac:dyDescent="0.25">
      <c r="A52" s="2">
        <f t="shared" si="3"/>
        <v>47</v>
      </c>
      <c r="B52" s="4" t="s">
        <v>19</v>
      </c>
      <c r="C52" s="1">
        <v>1.597</v>
      </c>
      <c r="D52" s="9">
        <v>0</v>
      </c>
      <c r="E52" s="1">
        <f t="shared" si="6"/>
        <v>1.597</v>
      </c>
      <c r="F52" s="7">
        <v>4.4200000000000003E-2</v>
      </c>
      <c r="G52" s="1">
        <f t="shared" si="7"/>
        <v>1.6708516426030551</v>
      </c>
      <c r="H52" s="2"/>
      <c r="I52" s="1">
        <v>0</v>
      </c>
      <c r="J52" s="2"/>
      <c r="K52" s="2"/>
      <c r="L52" s="1">
        <v>0.85915096311475081</v>
      </c>
      <c r="M52" s="1">
        <f t="shared" si="8"/>
        <v>2.5300026057178058</v>
      </c>
      <c r="N52" s="10">
        <v>4.8683023324045376</v>
      </c>
      <c r="O52" s="43">
        <f t="shared" si="5"/>
        <v>-2.3382997266867318</v>
      </c>
    </row>
    <row r="53" spans="1:15" x14ac:dyDescent="0.25">
      <c r="A53" s="2">
        <f t="shared" si="3"/>
        <v>48</v>
      </c>
      <c r="B53" s="4" t="s">
        <v>129</v>
      </c>
      <c r="C53" s="1">
        <v>1.6339999999999999</v>
      </c>
      <c r="D53" s="1">
        <v>-3.9899999999999998E-2</v>
      </c>
      <c r="E53" s="1">
        <f t="shared" si="6"/>
        <v>1.5940999999999999</v>
      </c>
      <c r="F53" s="7">
        <v>4.4200000000000003E-2</v>
      </c>
      <c r="G53" s="1">
        <f t="shared" si="7"/>
        <v>1.6678175350491733</v>
      </c>
      <c r="H53" s="2"/>
      <c r="I53" s="1">
        <v>0</v>
      </c>
      <c r="J53" s="2"/>
      <c r="K53" s="2"/>
      <c r="L53" s="1">
        <v>0.83038164640483936</v>
      </c>
      <c r="M53" s="1">
        <f t="shared" si="8"/>
        <v>2.4981991814540128</v>
      </c>
      <c r="N53" s="10">
        <v>4.9702764569758253</v>
      </c>
      <c r="O53" s="43">
        <f t="shared" si="5"/>
        <v>-2.4720772755218126</v>
      </c>
    </row>
    <row r="54" spans="1:15" x14ac:dyDescent="0.25">
      <c r="A54" s="2">
        <f t="shared" si="3"/>
        <v>49</v>
      </c>
      <c r="B54" s="4" t="s">
        <v>130</v>
      </c>
      <c r="C54" s="1">
        <v>1.621</v>
      </c>
      <c r="D54" s="1">
        <v>-3.9E-2</v>
      </c>
      <c r="E54" s="1">
        <f t="shared" si="6"/>
        <v>1.5820000000000001</v>
      </c>
      <c r="F54" s="7">
        <v>4.4200000000000003E-2</v>
      </c>
      <c r="G54" s="1">
        <f t="shared" si="7"/>
        <v>1.6551579828415988</v>
      </c>
      <c r="H54" s="2"/>
      <c r="I54" s="1">
        <v>0</v>
      </c>
      <c r="J54" s="2"/>
      <c r="K54" s="2"/>
      <c r="L54" s="1">
        <v>0.77934853313441221</v>
      </c>
      <c r="M54" s="1">
        <f t="shared" si="8"/>
        <v>2.4345065159760111</v>
      </c>
      <c r="N54" s="10">
        <v>5.0231437196959519</v>
      </c>
      <c r="O54" s="43">
        <f t="shared" si="5"/>
        <v>-2.5886372037199408</v>
      </c>
    </row>
    <row r="55" spans="1:15" x14ac:dyDescent="0.25">
      <c r="A55" s="2">
        <f t="shared" si="3"/>
        <v>50</v>
      </c>
      <c r="B55" s="4" t="s">
        <v>28</v>
      </c>
      <c r="C55" s="1">
        <v>1.2490000000000001</v>
      </c>
      <c r="D55" s="9">
        <v>-7.9900000000000006E-3</v>
      </c>
      <c r="E55" s="1">
        <f t="shared" si="6"/>
        <v>1.2410100000000002</v>
      </c>
      <c r="F55" s="7">
        <v>4.4200000000000003E-2</v>
      </c>
      <c r="G55" s="1">
        <f t="shared" si="7"/>
        <v>1.2983992467043317</v>
      </c>
      <c r="H55" s="2"/>
      <c r="I55" s="1">
        <v>0.11823725</v>
      </c>
      <c r="J55" s="2"/>
      <c r="K55" s="2"/>
      <c r="L55" s="1">
        <v>0.98415242264196123</v>
      </c>
      <c r="M55" s="1">
        <f t="shared" si="8"/>
        <v>2.4007889193462928</v>
      </c>
      <c r="N55" s="10">
        <v>5.2477421599710787</v>
      </c>
      <c r="O55" s="43">
        <f t="shared" si="5"/>
        <v>-2.8469532406247859</v>
      </c>
    </row>
    <row r="56" spans="1:15" x14ac:dyDescent="0.25">
      <c r="A56" s="2">
        <f t="shared" si="3"/>
        <v>51</v>
      </c>
      <c r="B56" s="4" t="s">
        <v>36</v>
      </c>
      <c r="C56" s="1">
        <v>1.3169999999999999</v>
      </c>
      <c r="D56" s="9">
        <v>1E-3</v>
      </c>
      <c r="E56" s="1">
        <f t="shared" si="6"/>
        <v>1.3179999999999998</v>
      </c>
      <c r="F56" s="7">
        <v>4.4200000000000003E-2</v>
      </c>
      <c r="G56" s="1">
        <f t="shared" si="7"/>
        <v>1.3789495710399664</v>
      </c>
      <c r="H56" s="2"/>
      <c r="I56" s="1">
        <v>0.13208364</v>
      </c>
      <c r="J56" s="2"/>
      <c r="K56" s="2"/>
      <c r="L56" s="1">
        <v>0.7550673162927084</v>
      </c>
      <c r="M56" s="1">
        <f t="shared" si="8"/>
        <v>2.2661005273326751</v>
      </c>
      <c r="N56" s="10">
        <v>6.9257198778246361</v>
      </c>
      <c r="O56" s="43">
        <f t="shared" si="5"/>
        <v>-4.659619350491961</v>
      </c>
    </row>
    <row r="57" spans="1:15" x14ac:dyDescent="0.25">
      <c r="A57" s="2">
        <f t="shared" si="3"/>
        <v>52</v>
      </c>
      <c r="B57" s="4" t="s">
        <v>43</v>
      </c>
      <c r="C57" s="1">
        <v>1.14953273</v>
      </c>
      <c r="D57" s="1">
        <v>0</v>
      </c>
      <c r="E57" s="1">
        <f t="shared" si="6"/>
        <v>1.14953273</v>
      </c>
      <c r="F57" s="7">
        <v>4.4200000000000003E-2</v>
      </c>
      <c r="G57" s="1">
        <f t="shared" si="7"/>
        <v>1.202691703285206</v>
      </c>
      <c r="H57" s="2">
        <v>0.15</v>
      </c>
      <c r="I57" s="1">
        <v>3.8347439041159732E-2</v>
      </c>
      <c r="J57" s="1">
        <v>0.16500000000000001</v>
      </c>
      <c r="K57" s="2"/>
      <c r="L57" s="1">
        <v>0.16570016000000001</v>
      </c>
      <c r="M57" s="1">
        <f t="shared" si="8"/>
        <v>1.7217393023263659</v>
      </c>
      <c r="N57" s="10">
        <v>3.4947704986304253</v>
      </c>
      <c r="O57" s="43">
        <f>M57-N57</f>
        <v>-1.7730311963040595</v>
      </c>
    </row>
  </sheetData>
  <sheetProtection selectLockedCells="1"/>
  <autoFilter ref="A5:O46"/>
  <sortState ref="B6:M57">
    <sortCondition descending="1" ref="M6:M57"/>
  </sortState>
  <mergeCells count="14">
    <mergeCell ref="L2:L4"/>
    <mergeCell ref="M2:M4"/>
    <mergeCell ref="A1:M1"/>
    <mergeCell ref="A2:A4"/>
    <mergeCell ref="B2:B4"/>
    <mergeCell ref="C2:C4"/>
    <mergeCell ref="D2:D4"/>
    <mergeCell ref="E2:E4"/>
    <mergeCell ref="G2:G3"/>
    <mergeCell ref="H2:H4"/>
    <mergeCell ref="J2:J4"/>
    <mergeCell ref="F2:F4"/>
    <mergeCell ref="I2:I4"/>
    <mergeCell ref="K2:K4"/>
  </mergeCells>
  <printOptions horizontalCentered="1"/>
  <pageMargins left="0.11811023622047245" right="0.11811023622047245" top="0.35433070866141736" bottom="0.15748031496062992" header="0" footer="0"/>
  <pageSetup paperSize="9" scale="6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rgb="FFFF0000"/>
  </sheetPr>
  <dimension ref="A1:AC126"/>
  <sheetViews>
    <sheetView view="pageBreakPreview" zoomScaleSheetLayoutView="100" workbookViewId="0">
      <pane xSplit="2" ySplit="5" topLeftCell="C120" activePane="bottomRight" state="frozen"/>
      <selection pane="topRight" activeCell="C1" sqref="C1"/>
      <selection pane="bottomLeft" activeCell="A6" sqref="A6"/>
      <selection pane="bottomRight" activeCell="F67" sqref="F67"/>
    </sheetView>
  </sheetViews>
  <sheetFormatPr defaultColWidth="8.85546875" defaultRowHeight="12.75" x14ac:dyDescent="0.25"/>
  <cols>
    <col min="1" max="1" width="4.85546875" style="170" customWidth="1"/>
    <col min="2" max="2" width="27.140625" style="177" customWidth="1"/>
    <col min="3" max="3" width="10.85546875" style="170" customWidth="1"/>
    <col min="4" max="4" width="7.85546875" style="157" customWidth="1"/>
    <col min="5" max="5" width="9.28515625" style="170" customWidth="1"/>
    <col min="6" max="6" width="9.85546875" style="157" customWidth="1"/>
    <col min="7" max="7" width="10" style="157" customWidth="1"/>
    <col min="8" max="9" width="8.5703125" style="157" customWidth="1"/>
    <col min="10" max="10" width="9.28515625" style="170" customWidth="1"/>
    <col min="11" max="11" width="9.42578125" style="170" customWidth="1"/>
    <col min="12" max="12" width="10.85546875" style="157" customWidth="1"/>
    <col min="13" max="13" width="8.7109375" style="157" customWidth="1"/>
    <col min="14" max="14" width="10.28515625" style="157" customWidth="1"/>
    <col min="15" max="29" width="0" style="157" hidden="1" customWidth="1"/>
    <col min="30" max="16384" width="8.85546875" style="157"/>
  </cols>
  <sheetData>
    <row r="1" spans="1:29" ht="19.899999999999999" customHeight="1" x14ac:dyDescent="0.25">
      <c r="A1" s="257" t="s">
        <v>323</v>
      </c>
      <c r="B1" s="257"/>
      <c r="C1" s="257"/>
      <c r="D1" s="257"/>
      <c r="E1" s="257"/>
      <c r="F1" s="257"/>
      <c r="G1" s="257"/>
      <c r="H1" s="257"/>
      <c r="I1" s="257"/>
      <c r="J1" s="257"/>
      <c r="K1" s="257"/>
      <c r="L1" s="257"/>
      <c r="M1" s="257"/>
      <c r="N1" s="257"/>
    </row>
    <row r="2" spans="1:29" ht="19.899999999999999" customHeight="1" x14ac:dyDescent="0.25">
      <c r="A2" s="248" t="s">
        <v>0</v>
      </c>
      <c r="B2" s="258" t="s">
        <v>1</v>
      </c>
      <c r="C2" s="248" t="s">
        <v>99</v>
      </c>
      <c r="D2" s="258" t="s">
        <v>108</v>
      </c>
      <c r="E2" s="258" t="s">
        <v>109</v>
      </c>
      <c r="F2" s="258" t="s">
        <v>193</v>
      </c>
      <c r="G2" s="258" t="s">
        <v>191</v>
      </c>
      <c r="H2" s="258" t="s">
        <v>55</v>
      </c>
      <c r="I2" s="258" t="s">
        <v>234</v>
      </c>
      <c r="J2" s="258" t="s">
        <v>3</v>
      </c>
      <c r="K2" s="258" t="s">
        <v>244</v>
      </c>
      <c r="L2" s="259" t="s">
        <v>284</v>
      </c>
      <c r="M2" s="258" t="s">
        <v>100</v>
      </c>
      <c r="N2" s="258" t="s">
        <v>52</v>
      </c>
    </row>
    <row r="3" spans="1:29" ht="19.899999999999999" customHeight="1" x14ac:dyDescent="0.25">
      <c r="A3" s="248"/>
      <c r="B3" s="258"/>
      <c r="C3" s="248"/>
      <c r="D3" s="258"/>
      <c r="E3" s="258"/>
      <c r="F3" s="258"/>
      <c r="G3" s="258"/>
      <c r="H3" s="258"/>
      <c r="I3" s="258"/>
      <c r="J3" s="258"/>
      <c r="K3" s="258"/>
      <c r="L3" s="259"/>
      <c r="M3" s="258"/>
      <c r="N3" s="258"/>
    </row>
    <row r="4" spans="1:29" ht="29.25" customHeight="1" x14ac:dyDescent="0.25">
      <c r="A4" s="248"/>
      <c r="B4" s="258"/>
      <c r="C4" s="248"/>
      <c r="D4" s="258"/>
      <c r="E4" s="258"/>
      <c r="F4" s="258"/>
      <c r="G4" s="232" t="s">
        <v>4</v>
      </c>
      <c r="H4" s="258"/>
      <c r="I4" s="258"/>
      <c r="J4" s="258"/>
      <c r="K4" s="258"/>
      <c r="L4" s="259"/>
      <c r="M4" s="258"/>
      <c r="N4" s="258"/>
    </row>
    <row r="5" spans="1:29" ht="30" customHeight="1" x14ac:dyDescent="0.25">
      <c r="A5" s="229" t="s">
        <v>5</v>
      </c>
      <c r="B5" s="229" t="s">
        <v>6</v>
      </c>
      <c r="C5" s="229" t="s">
        <v>7</v>
      </c>
      <c r="D5" s="229" t="s">
        <v>8</v>
      </c>
      <c r="E5" s="229" t="s">
        <v>9</v>
      </c>
      <c r="F5" s="229" t="s">
        <v>10</v>
      </c>
      <c r="G5" s="229" t="s">
        <v>192</v>
      </c>
      <c r="H5" s="229" t="s">
        <v>189</v>
      </c>
      <c r="I5" s="229" t="s">
        <v>11</v>
      </c>
      <c r="J5" s="229" t="s">
        <v>12</v>
      </c>
      <c r="K5" s="229" t="s">
        <v>13</v>
      </c>
      <c r="L5" s="229" t="s">
        <v>14</v>
      </c>
      <c r="M5" s="229" t="s">
        <v>96</v>
      </c>
      <c r="N5" s="229" t="s">
        <v>237</v>
      </c>
    </row>
    <row r="6" spans="1:29" ht="17.25" customHeight="1" x14ac:dyDescent="0.25">
      <c r="A6" s="159">
        <v>1</v>
      </c>
      <c r="B6" s="4" t="s">
        <v>146</v>
      </c>
      <c r="C6" s="1">
        <v>4.1580000000000004</v>
      </c>
      <c r="D6" s="1">
        <v>3.1E-2</v>
      </c>
      <c r="E6" s="183">
        <f t="shared" ref="E6:E37" si="0">C6+D6</f>
        <v>4.1890000000000001</v>
      </c>
      <c r="F6" s="7">
        <v>4.4200000000000003E-2</v>
      </c>
      <c r="G6" s="160">
        <f t="shared" ref="G6:G37" si="1">E6/((100%-F6))</f>
        <v>4.382716049382716</v>
      </c>
      <c r="H6" s="2"/>
      <c r="I6" s="1">
        <v>0</v>
      </c>
      <c r="J6" s="2"/>
      <c r="K6" s="2"/>
      <c r="L6" s="2">
        <v>6.5000000000000002E-2</v>
      </c>
      <c r="M6" s="2"/>
      <c r="N6" s="160">
        <f t="shared" ref="N6:N37" si="2">SUM(G6:M6)</f>
        <v>4.4477160493827164</v>
      </c>
      <c r="O6" s="157">
        <v>3.8489999999999998</v>
      </c>
      <c r="P6" s="161">
        <f t="shared" ref="P6:P51" si="3">N6-O6</f>
        <v>0.59871604938271661</v>
      </c>
      <c r="Q6" s="161">
        <f t="shared" ref="Q6:Q45" si="4">N6-N7</f>
        <v>3.2192927390672921E-3</v>
      </c>
      <c r="R6" s="161">
        <f t="shared" ref="R6:R45" si="5">N6-N7</f>
        <v>3.2192927390672921E-3</v>
      </c>
      <c r="S6" s="161">
        <f t="shared" ref="S6:S45" si="6">N6-N7</f>
        <v>3.2192927390672921E-3</v>
      </c>
      <c r="T6" s="157">
        <v>3.9139999999999997</v>
      </c>
      <c r="U6" s="161">
        <f t="shared" ref="U6:U51" si="7">N6-T6</f>
        <v>0.53371604938271666</v>
      </c>
      <c r="V6" s="157">
        <v>1.657</v>
      </c>
      <c r="W6" s="161">
        <f>N6-V6</f>
        <v>2.7907160493827163</v>
      </c>
      <c r="X6" s="157">
        <v>1.929</v>
      </c>
      <c r="Y6" s="161">
        <f>N6-X6</f>
        <v>2.5187160493827161</v>
      </c>
      <c r="Z6" s="157">
        <v>1.8660000000000001</v>
      </c>
      <c r="AA6" s="161">
        <f>N6-Z6</f>
        <v>2.5817160493827163</v>
      </c>
      <c r="AB6" s="161">
        <v>1.913</v>
      </c>
      <c r="AC6" s="161">
        <f>N6-AB6</f>
        <v>2.5347160493827161</v>
      </c>
    </row>
    <row r="7" spans="1:29" ht="18" customHeight="1" x14ac:dyDescent="0.25">
      <c r="A7" s="159">
        <f t="shared" ref="A7:A61" si="8">+A6+1</f>
        <v>2</v>
      </c>
      <c r="B7" s="4" t="s">
        <v>135</v>
      </c>
      <c r="C7" s="2">
        <v>3.3860000000000001</v>
      </c>
      <c r="D7" s="1">
        <v>0.19298999999999999</v>
      </c>
      <c r="E7" s="183">
        <f t="shared" si="0"/>
        <v>3.5789900000000001</v>
      </c>
      <c r="F7" s="7">
        <v>4.4200000000000003E-2</v>
      </c>
      <c r="G7" s="160">
        <f t="shared" si="1"/>
        <v>3.7444967566436493</v>
      </c>
      <c r="H7" s="2"/>
      <c r="I7" s="1">
        <v>0</v>
      </c>
      <c r="J7" s="2"/>
      <c r="K7" s="2"/>
      <c r="L7" s="1">
        <v>0.7</v>
      </c>
      <c r="M7" s="2"/>
      <c r="N7" s="160">
        <f t="shared" si="2"/>
        <v>4.4444967566436491</v>
      </c>
      <c r="O7" s="157">
        <v>3.4154740152402727</v>
      </c>
      <c r="P7" s="161">
        <f t="shared" si="3"/>
        <v>1.0290227414033764</v>
      </c>
      <c r="Q7" s="161" t="e">
        <f>N7-#REF!</f>
        <v>#REF!</v>
      </c>
      <c r="R7" s="161" t="e">
        <f>N7-#REF!</f>
        <v>#REF!</v>
      </c>
      <c r="S7" s="161" t="e">
        <f>N7-#REF!</f>
        <v>#REF!</v>
      </c>
      <c r="T7" s="157">
        <v>3.8489999999999998</v>
      </c>
      <c r="U7" s="161">
        <f t="shared" si="7"/>
        <v>0.59549675664364932</v>
      </c>
      <c r="V7" s="157">
        <v>4.2190099999999999</v>
      </c>
      <c r="W7" s="161">
        <f t="shared" ref="W7:W51" si="9">N7-V7</f>
        <v>0.22548675664364914</v>
      </c>
      <c r="X7" s="157">
        <v>4.3960100000000004</v>
      </c>
      <c r="Y7" s="161">
        <f t="shared" ref="Y7:Y53" si="10">N7-X7</f>
        <v>4.8486756643648654E-2</v>
      </c>
      <c r="Z7" s="157">
        <v>4.12601</v>
      </c>
      <c r="AA7" s="161">
        <f t="shared" ref="AA7:AA60" si="11">N7-Z7</f>
        <v>0.31848675664364912</v>
      </c>
      <c r="AB7" s="157">
        <v>3.9910100000000002</v>
      </c>
      <c r="AC7" s="161">
        <f t="shared" ref="AC7:AC61" si="12">N7-AB7</f>
        <v>0.4534867566436489</v>
      </c>
    </row>
    <row r="8" spans="1:29" ht="20.25" customHeight="1" x14ac:dyDescent="0.25">
      <c r="A8" s="159">
        <f t="shared" si="8"/>
        <v>3</v>
      </c>
      <c r="B8" s="4" t="s">
        <v>117</v>
      </c>
      <c r="C8" s="2">
        <v>3.94</v>
      </c>
      <c r="D8" s="1">
        <v>2.1999999999999999E-2</v>
      </c>
      <c r="E8" s="183">
        <f t="shared" si="0"/>
        <v>3.9619999999999997</v>
      </c>
      <c r="F8" s="7">
        <v>4.4200000000000003E-2</v>
      </c>
      <c r="G8" s="160">
        <f t="shared" si="1"/>
        <v>4.1452186649926759</v>
      </c>
      <c r="H8" s="2"/>
      <c r="I8" s="1">
        <v>0</v>
      </c>
      <c r="J8" s="2"/>
      <c r="K8" s="2"/>
      <c r="L8" s="1">
        <v>9.6000000000000002E-2</v>
      </c>
      <c r="M8" s="2"/>
      <c r="N8" s="160">
        <f t="shared" si="2"/>
        <v>4.241218664992676</v>
      </c>
      <c r="O8" s="157">
        <v>2.9165640638579711</v>
      </c>
      <c r="P8" s="161">
        <f t="shared" si="3"/>
        <v>1.3246546011347049</v>
      </c>
      <c r="Q8" s="161">
        <f t="shared" si="4"/>
        <v>8.5508871102740969E-2</v>
      </c>
      <c r="R8" s="161">
        <f t="shared" si="5"/>
        <v>8.5508871102740969E-2</v>
      </c>
      <c r="S8" s="161">
        <f t="shared" si="6"/>
        <v>8.5508871102740969E-2</v>
      </c>
      <c r="T8" s="157">
        <v>2.8281883380106021</v>
      </c>
      <c r="U8" s="161">
        <f t="shared" si="7"/>
        <v>1.4130303269820739</v>
      </c>
      <c r="V8" s="157">
        <v>4.09701</v>
      </c>
      <c r="W8" s="161">
        <f t="shared" si="9"/>
        <v>0.14420866499267593</v>
      </c>
      <c r="X8" s="157">
        <v>3.6690126267853449</v>
      </c>
      <c r="Y8" s="161">
        <f t="shared" si="10"/>
        <v>0.57220603820733107</v>
      </c>
      <c r="Z8" s="157">
        <v>3.9690347734457325</v>
      </c>
      <c r="AA8" s="161">
        <f t="shared" si="11"/>
        <v>0.27218389154694345</v>
      </c>
      <c r="AB8" s="157">
        <v>3.002403003754694</v>
      </c>
      <c r="AC8" s="161">
        <f t="shared" si="12"/>
        <v>1.2388156612379819</v>
      </c>
    </row>
    <row r="9" spans="1:29" ht="15.75" customHeight="1" x14ac:dyDescent="0.25">
      <c r="A9" s="159">
        <f t="shared" si="8"/>
        <v>4</v>
      </c>
      <c r="B9" s="4" t="s">
        <v>169</v>
      </c>
      <c r="C9" s="2">
        <v>3.1190000000000002</v>
      </c>
      <c r="D9" s="9">
        <v>3.2000000000000001E-2</v>
      </c>
      <c r="E9" s="183">
        <f t="shared" si="0"/>
        <v>3.1510000000000002</v>
      </c>
      <c r="F9" s="7">
        <v>4.4200000000000003E-2</v>
      </c>
      <c r="G9" s="160">
        <f t="shared" si="1"/>
        <v>3.2967147938899353</v>
      </c>
      <c r="H9" s="2">
        <v>0.15</v>
      </c>
      <c r="I9" s="1">
        <v>5.8995000000000006E-2</v>
      </c>
      <c r="J9" s="2"/>
      <c r="K9" s="2"/>
      <c r="L9" s="2">
        <v>0.65</v>
      </c>
      <c r="M9" s="2"/>
      <c r="N9" s="160">
        <f t="shared" si="2"/>
        <v>4.155709793889935</v>
      </c>
      <c r="O9" s="157">
        <v>2.8726060355558705</v>
      </c>
      <c r="P9" s="161">
        <f t="shared" si="3"/>
        <v>1.2831037583340645</v>
      </c>
      <c r="Q9" s="161">
        <f t="shared" si="4"/>
        <v>3.1051915672734687E-2</v>
      </c>
      <c r="R9" s="161">
        <f t="shared" si="5"/>
        <v>3.1051915672734687E-2</v>
      </c>
      <c r="S9" s="161">
        <f t="shared" si="6"/>
        <v>3.1051915672734687E-2</v>
      </c>
      <c r="T9" s="157">
        <v>1.9803710632990332</v>
      </c>
      <c r="U9" s="161">
        <f t="shared" si="7"/>
        <v>2.1753387305909015</v>
      </c>
      <c r="V9" s="157">
        <v>4.4699081242902858</v>
      </c>
      <c r="W9" s="161">
        <f t="shared" si="9"/>
        <v>-0.31419833040035083</v>
      </c>
      <c r="X9" s="157">
        <v>2.7395259780583729</v>
      </c>
      <c r="Y9" s="161">
        <f t="shared" si="10"/>
        <v>1.4161838158315621</v>
      </c>
      <c r="Z9" s="157">
        <v>2.7337723919915704</v>
      </c>
      <c r="AA9" s="161">
        <f t="shared" si="11"/>
        <v>1.4219374018983646</v>
      </c>
      <c r="AB9" s="157">
        <v>2.7136211931581142</v>
      </c>
      <c r="AC9" s="161">
        <f t="shared" si="12"/>
        <v>1.4420886007318208</v>
      </c>
    </row>
    <row r="10" spans="1:29" ht="30" customHeight="1" x14ac:dyDescent="0.25">
      <c r="A10" s="159">
        <f t="shared" si="8"/>
        <v>5</v>
      </c>
      <c r="B10" s="13" t="s">
        <v>150</v>
      </c>
      <c r="C10" s="1">
        <v>3.72</v>
      </c>
      <c r="D10" s="1">
        <v>0.16500000000000001</v>
      </c>
      <c r="E10" s="183">
        <f t="shared" si="0"/>
        <v>3.8850000000000002</v>
      </c>
      <c r="F10" s="7">
        <v>4.4200000000000003E-2</v>
      </c>
      <c r="G10" s="160">
        <f t="shared" si="1"/>
        <v>4.0646578782172007</v>
      </c>
      <c r="H10" s="2"/>
      <c r="I10" s="1">
        <v>0</v>
      </c>
      <c r="J10" s="2"/>
      <c r="K10" s="2"/>
      <c r="L10" s="1">
        <v>0.06</v>
      </c>
      <c r="M10" s="2"/>
      <c r="N10" s="160">
        <f t="shared" si="2"/>
        <v>4.1246578782172003</v>
      </c>
      <c r="O10" s="157">
        <v>2.7761088881610552</v>
      </c>
      <c r="P10" s="161">
        <f t="shared" si="3"/>
        <v>1.3485489900561451</v>
      </c>
      <c r="Q10" s="161">
        <f t="shared" si="4"/>
        <v>0.14264787821720049</v>
      </c>
      <c r="R10" s="161">
        <f t="shared" si="5"/>
        <v>0.14264787821720049</v>
      </c>
      <c r="S10" s="161">
        <f t="shared" si="6"/>
        <v>0.14264787821720049</v>
      </c>
      <c r="T10" s="157">
        <v>2.6892370855420435</v>
      </c>
      <c r="U10" s="161">
        <f t="shared" si="7"/>
        <v>1.4354207926751568</v>
      </c>
      <c r="V10" s="157">
        <v>2.6781304841540208</v>
      </c>
      <c r="W10" s="161">
        <f t="shared" si="9"/>
        <v>1.4465273940631795</v>
      </c>
      <c r="X10" s="157">
        <v>3.7395600548540679</v>
      </c>
      <c r="Y10" s="161">
        <f t="shared" si="10"/>
        <v>0.38509782336313236</v>
      </c>
      <c r="Z10" s="157">
        <v>3.4913975289778718</v>
      </c>
      <c r="AA10" s="161">
        <f t="shared" si="11"/>
        <v>0.6332603492393285</v>
      </c>
      <c r="AB10" s="157">
        <v>3.5141681330830203</v>
      </c>
      <c r="AC10" s="161">
        <f t="shared" si="12"/>
        <v>0.61048974513417997</v>
      </c>
    </row>
    <row r="11" spans="1:29" ht="17.25" customHeight="1" x14ac:dyDescent="0.25">
      <c r="A11" s="159">
        <f t="shared" si="8"/>
        <v>6</v>
      </c>
      <c r="B11" s="4" t="s">
        <v>279</v>
      </c>
      <c r="C11" s="1">
        <v>3.7519999999999998</v>
      </c>
      <c r="D11" s="1"/>
      <c r="E11" s="183">
        <f t="shared" si="0"/>
        <v>3.7519999999999998</v>
      </c>
      <c r="F11" s="7"/>
      <c r="G11" s="160">
        <f t="shared" si="1"/>
        <v>3.7519999999999998</v>
      </c>
      <c r="H11" s="5">
        <v>0.15</v>
      </c>
      <c r="I11" s="1">
        <v>8.0009999999999998E-2</v>
      </c>
      <c r="J11" s="2"/>
      <c r="K11" s="2"/>
      <c r="L11" s="2"/>
      <c r="M11" s="2"/>
      <c r="N11" s="160">
        <f t="shared" si="2"/>
        <v>3.9820099999999998</v>
      </c>
      <c r="O11" s="157">
        <v>3.31</v>
      </c>
      <c r="P11" s="161">
        <f t="shared" si="3"/>
        <v>0.67200999999999977</v>
      </c>
      <c r="Q11" s="161">
        <f t="shared" si="4"/>
        <v>0.28277459510357783</v>
      </c>
      <c r="R11" s="161">
        <f t="shared" si="5"/>
        <v>0.28277459510357783</v>
      </c>
      <c r="S11" s="161">
        <f t="shared" si="6"/>
        <v>0.28277459510357783</v>
      </c>
      <c r="T11" s="157">
        <v>1.6656272736721756</v>
      </c>
      <c r="U11" s="161">
        <f t="shared" si="7"/>
        <v>2.3163827263278245</v>
      </c>
      <c r="V11" s="157">
        <v>5.0004850185816041</v>
      </c>
      <c r="W11" s="161">
        <f t="shared" si="9"/>
        <v>-1.0184750185816043</v>
      </c>
      <c r="X11" s="157">
        <v>1.6507969364520805</v>
      </c>
      <c r="Y11" s="161">
        <f t="shared" si="10"/>
        <v>2.3312130635479194</v>
      </c>
      <c r="Z11" s="157">
        <v>2.2107481559536355</v>
      </c>
      <c r="AA11" s="161">
        <f t="shared" si="11"/>
        <v>1.7712618440463643</v>
      </c>
      <c r="AB11" s="157">
        <v>2.1881518564872757</v>
      </c>
      <c r="AC11" s="161">
        <f t="shared" si="12"/>
        <v>1.7938581435127241</v>
      </c>
    </row>
    <row r="12" spans="1:29" ht="15.75" customHeight="1" x14ac:dyDescent="0.25">
      <c r="A12" s="159">
        <f t="shared" si="8"/>
        <v>7</v>
      </c>
      <c r="B12" s="4" t="s">
        <v>134</v>
      </c>
      <c r="C12" s="2">
        <v>3.35</v>
      </c>
      <c r="D12" s="1">
        <v>0.115</v>
      </c>
      <c r="E12" s="183">
        <f t="shared" si="0"/>
        <v>3.4650000000000003</v>
      </c>
      <c r="F12" s="7">
        <v>4.4200000000000003E-2</v>
      </c>
      <c r="G12" s="160">
        <f t="shared" si="1"/>
        <v>3.6252354048964222</v>
      </c>
      <c r="H12" s="2"/>
      <c r="I12" s="1">
        <v>0</v>
      </c>
      <c r="J12" s="2"/>
      <c r="K12" s="2"/>
      <c r="L12" s="1">
        <v>7.3999999999999996E-2</v>
      </c>
      <c r="M12" s="2"/>
      <c r="N12" s="160">
        <f t="shared" si="2"/>
        <v>3.699235404896422</v>
      </c>
      <c r="O12" s="157">
        <v>0.65704658438343611</v>
      </c>
      <c r="P12" s="161">
        <f t="shared" si="3"/>
        <v>3.0421888205129859</v>
      </c>
      <c r="Q12" s="161">
        <f t="shared" si="4"/>
        <v>1.0323707888679312E-2</v>
      </c>
      <c r="R12" s="161">
        <f t="shared" si="5"/>
        <v>1.0323707888679312E-2</v>
      </c>
      <c r="S12" s="161">
        <f t="shared" si="6"/>
        <v>1.0323707888679312E-2</v>
      </c>
      <c r="T12" s="157">
        <v>2.5527491944704295</v>
      </c>
      <c r="U12" s="161">
        <f t="shared" si="7"/>
        <v>1.1464862104259925</v>
      </c>
      <c r="V12" s="157">
        <v>2.9233934603076288</v>
      </c>
      <c r="W12" s="161">
        <f t="shared" si="9"/>
        <v>0.77584194458879319</v>
      </c>
      <c r="X12" s="157">
        <v>3.2052680604429726</v>
      </c>
      <c r="Y12" s="161">
        <f t="shared" si="10"/>
        <v>0.49396734445344936</v>
      </c>
      <c r="Z12" s="157">
        <v>3.0952054794520549</v>
      </c>
      <c r="AA12" s="161">
        <f t="shared" si="11"/>
        <v>0.60402992544436707</v>
      </c>
      <c r="AB12" s="157">
        <v>2.8503546099290782</v>
      </c>
      <c r="AC12" s="161">
        <f t="shared" si="12"/>
        <v>0.84888079496734381</v>
      </c>
    </row>
    <row r="13" spans="1:29" ht="15.75" customHeight="1" x14ac:dyDescent="0.25">
      <c r="A13" s="159">
        <f t="shared" si="8"/>
        <v>8</v>
      </c>
      <c r="B13" s="4" t="s">
        <v>133</v>
      </c>
      <c r="C13" s="2">
        <v>3.339</v>
      </c>
      <c r="D13" s="1">
        <v>0.11899999999999999</v>
      </c>
      <c r="E13" s="183">
        <f t="shared" si="0"/>
        <v>3.4580000000000002</v>
      </c>
      <c r="F13" s="7">
        <v>4.4200000000000003E-2</v>
      </c>
      <c r="G13" s="160">
        <f t="shared" si="1"/>
        <v>3.6179116970077425</v>
      </c>
      <c r="H13" s="2"/>
      <c r="I13" s="1">
        <v>0</v>
      </c>
      <c r="J13" s="2"/>
      <c r="K13" s="2"/>
      <c r="L13" s="1">
        <v>7.0999999999999994E-2</v>
      </c>
      <c r="M13" s="2"/>
      <c r="N13" s="160">
        <f t="shared" si="2"/>
        <v>3.6889116970077427</v>
      </c>
      <c r="O13" s="157">
        <v>2.1547486289977424</v>
      </c>
      <c r="P13" s="161">
        <f t="shared" si="3"/>
        <v>1.5341630680100002</v>
      </c>
      <c r="Q13" s="161">
        <f t="shared" si="4"/>
        <v>9.8141697007742668E-2</v>
      </c>
      <c r="R13" s="161">
        <f t="shared" si="5"/>
        <v>9.8141697007742668E-2</v>
      </c>
      <c r="S13" s="161">
        <f t="shared" si="6"/>
        <v>9.8141697007742668E-2</v>
      </c>
      <c r="T13" s="157">
        <v>1.6698887849495896</v>
      </c>
      <c r="U13" s="161">
        <f t="shared" si="7"/>
        <v>2.0190229120581531</v>
      </c>
      <c r="V13" s="157">
        <v>3.8507699999999998</v>
      </c>
      <c r="W13" s="161">
        <f t="shared" si="9"/>
        <v>-0.16185830299225712</v>
      </c>
      <c r="X13" s="157">
        <v>3.1117699999999999</v>
      </c>
      <c r="Y13" s="161">
        <f t="shared" si="10"/>
        <v>0.57714169700774276</v>
      </c>
      <c r="Z13" s="157">
        <v>3.2217700000000002</v>
      </c>
      <c r="AA13" s="161">
        <f t="shared" si="11"/>
        <v>0.46714169700774244</v>
      </c>
      <c r="AB13" s="157">
        <v>3.59077</v>
      </c>
      <c r="AC13" s="161">
        <f t="shared" si="12"/>
        <v>9.8141697007742668E-2</v>
      </c>
    </row>
    <row r="14" spans="1:29" ht="16.5" customHeight="1" x14ac:dyDescent="0.25">
      <c r="A14" s="159">
        <f t="shared" si="8"/>
        <v>9</v>
      </c>
      <c r="B14" s="4" t="s">
        <v>57</v>
      </c>
      <c r="C14" s="1">
        <v>3.3759999999999999</v>
      </c>
      <c r="D14" s="1"/>
      <c r="E14" s="183">
        <f t="shared" si="0"/>
        <v>3.3759999999999999</v>
      </c>
      <c r="F14" s="7"/>
      <c r="G14" s="160">
        <f t="shared" si="1"/>
        <v>3.3759999999999999</v>
      </c>
      <c r="H14" s="5">
        <v>0.15</v>
      </c>
      <c r="I14" s="1">
        <v>6.4769999999999994E-2</v>
      </c>
      <c r="J14" s="2"/>
      <c r="K14" s="2"/>
      <c r="L14" s="2"/>
      <c r="M14" s="2"/>
      <c r="N14" s="160">
        <f t="shared" si="2"/>
        <v>3.59077</v>
      </c>
      <c r="O14" s="157">
        <v>2.8726060355558705</v>
      </c>
      <c r="P14" s="161">
        <f t="shared" si="3"/>
        <v>0.71816396444412955</v>
      </c>
      <c r="Q14" s="161">
        <f>N14-N16</f>
        <v>2.0985526260723919E-2</v>
      </c>
      <c r="R14" s="161">
        <f>N14-N16</f>
        <v>2.0985526260723919E-2</v>
      </c>
      <c r="S14" s="161">
        <f>N14-N16</f>
        <v>2.0985526260723919E-2</v>
      </c>
      <c r="T14" s="157">
        <v>2.6954734435089907</v>
      </c>
      <c r="U14" s="161">
        <f t="shared" si="7"/>
        <v>0.89529655649100937</v>
      </c>
      <c r="V14" s="157">
        <v>0.80423025033550111</v>
      </c>
      <c r="W14" s="161">
        <f t="shared" si="9"/>
        <v>2.7865397496644988</v>
      </c>
      <c r="X14" s="157">
        <v>0.82030928482715793</v>
      </c>
      <c r="Y14" s="161">
        <f t="shared" si="10"/>
        <v>2.7704607151728422</v>
      </c>
      <c r="Z14" s="157">
        <v>0.92340858271865123</v>
      </c>
      <c r="AA14" s="161">
        <f t="shared" si="11"/>
        <v>2.6673614172813487</v>
      </c>
      <c r="AB14" s="157">
        <v>0.89922485815602837</v>
      </c>
      <c r="AC14" s="161">
        <f t="shared" si="12"/>
        <v>2.6915451418439718</v>
      </c>
    </row>
    <row r="15" spans="1:29" ht="17.25" customHeight="1" x14ac:dyDescent="0.25">
      <c r="A15" s="159">
        <f t="shared" si="8"/>
        <v>10</v>
      </c>
      <c r="B15" s="4" t="s">
        <v>175</v>
      </c>
      <c r="C15" s="1">
        <v>3.2010000000000001</v>
      </c>
      <c r="D15" s="1">
        <v>-2.3E-2</v>
      </c>
      <c r="E15" s="183">
        <f t="shared" si="0"/>
        <v>3.1779999999999999</v>
      </c>
      <c r="F15" s="7">
        <v>4.4200000000000003E-2</v>
      </c>
      <c r="G15" s="160">
        <f t="shared" si="1"/>
        <v>3.3249633814605568</v>
      </c>
      <c r="H15" s="2">
        <v>0.15</v>
      </c>
      <c r="I15" s="1">
        <v>5.2784999999999999E-2</v>
      </c>
      <c r="J15" s="2"/>
      <c r="K15" s="2"/>
      <c r="L15" s="1">
        <v>6.2E-2</v>
      </c>
      <c r="M15" s="2"/>
      <c r="N15" s="160">
        <f t="shared" si="2"/>
        <v>3.5897483814605566</v>
      </c>
      <c r="P15" s="161"/>
      <c r="Q15" s="161"/>
      <c r="R15" s="161"/>
      <c r="S15" s="161"/>
      <c r="U15" s="161"/>
      <c r="W15" s="161"/>
      <c r="Y15" s="161"/>
      <c r="Z15" s="157">
        <v>2.9314963119072712</v>
      </c>
      <c r="AA15" s="161">
        <f t="shared" si="11"/>
        <v>0.65825206955328541</v>
      </c>
      <c r="AB15" s="157">
        <v>2.8785878181059661</v>
      </c>
      <c r="AC15" s="161">
        <f t="shared" si="12"/>
        <v>0.71116056335459055</v>
      </c>
    </row>
    <row r="16" spans="1:29" ht="16.5" customHeight="1" x14ac:dyDescent="0.25">
      <c r="A16" s="159">
        <f t="shared" si="8"/>
        <v>11</v>
      </c>
      <c r="B16" s="13" t="s">
        <v>295</v>
      </c>
      <c r="C16" s="1">
        <v>3.4119999999999999</v>
      </c>
      <c r="D16" s="1"/>
      <c r="E16" s="183">
        <f t="shared" si="0"/>
        <v>3.4119999999999999</v>
      </c>
      <c r="F16" s="7">
        <v>4.4200000000000003E-2</v>
      </c>
      <c r="G16" s="160">
        <f t="shared" si="1"/>
        <v>3.5697844737392761</v>
      </c>
      <c r="H16" s="2"/>
      <c r="I16" s="1"/>
      <c r="J16" s="2"/>
      <c r="K16" s="2"/>
      <c r="L16" s="2"/>
      <c r="M16" s="2"/>
      <c r="N16" s="160">
        <f t="shared" si="2"/>
        <v>3.5697844737392761</v>
      </c>
      <c r="O16" s="157">
        <v>2.9216754624977499</v>
      </c>
      <c r="P16" s="161">
        <f t="shared" si="3"/>
        <v>0.6481090112415262</v>
      </c>
      <c r="Q16" s="161">
        <f t="shared" si="4"/>
        <v>1.8745762711864788E-2</v>
      </c>
      <c r="R16" s="161">
        <f t="shared" si="5"/>
        <v>1.8745762711864788E-2</v>
      </c>
      <c r="S16" s="161">
        <f t="shared" si="6"/>
        <v>1.8745762711864788E-2</v>
      </c>
      <c r="T16" s="157">
        <v>3.3719999999999999</v>
      </c>
      <c r="U16" s="161">
        <f t="shared" si="7"/>
        <v>0.19778447373927621</v>
      </c>
      <c r="V16" s="157">
        <v>4.0528543408692066</v>
      </c>
      <c r="W16" s="161">
        <f t="shared" si="9"/>
        <v>-0.4830698671299305</v>
      </c>
      <c r="X16" s="157">
        <v>3.164976195404678</v>
      </c>
      <c r="Y16" s="161">
        <f t="shared" si="10"/>
        <v>0.40480827833459809</v>
      </c>
      <c r="Z16" s="157">
        <v>1.6828240252897788</v>
      </c>
      <c r="AA16" s="161">
        <f t="shared" si="11"/>
        <v>1.8869604484494973</v>
      </c>
      <c r="AB16" s="157">
        <v>1.6656236962870254</v>
      </c>
      <c r="AC16" s="161">
        <f t="shared" si="12"/>
        <v>1.9041607774522507</v>
      </c>
    </row>
    <row r="17" spans="1:29" ht="16.5" customHeight="1" x14ac:dyDescent="0.25">
      <c r="A17" s="159">
        <f t="shared" si="8"/>
        <v>12</v>
      </c>
      <c r="B17" s="4" t="s">
        <v>153</v>
      </c>
      <c r="C17" s="1">
        <v>3.173</v>
      </c>
      <c r="D17" s="1">
        <v>0.158</v>
      </c>
      <c r="E17" s="183">
        <f t="shared" si="0"/>
        <v>3.331</v>
      </c>
      <c r="F17" s="7">
        <v>4.4200000000000003E-2</v>
      </c>
      <c r="G17" s="160">
        <f t="shared" si="1"/>
        <v>3.4850387110274115</v>
      </c>
      <c r="H17" s="2"/>
      <c r="I17" s="1">
        <v>0</v>
      </c>
      <c r="J17" s="2"/>
      <c r="K17" s="2"/>
      <c r="L17" s="2">
        <v>6.6000000000000003E-2</v>
      </c>
      <c r="M17" s="2"/>
      <c r="N17" s="160">
        <f t="shared" si="2"/>
        <v>3.5510387110274113</v>
      </c>
      <c r="O17" s="157">
        <v>1.5871379253605995</v>
      </c>
      <c r="P17" s="161">
        <f t="shared" si="3"/>
        <v>1.9639007856668118</v>
      </c>
      <c r="Q17" s="161">
        <f t="shared" si="4"/>
        <v>8.0745762711864177E-2</v>
      </c>
      <c r="R17" s="161">
        <f t="shared" si="5"/>
        <v>8.0745762711864177E-2</v>
      </c>
      <c r="S17" s="161">
        <f t="shared" si="6"/>
        <v>8.0745762711864177E-2</v>
      </c>
      <c r="T17" s="157">
        <v>0.70503585905831001</v>
      </c>
      <c r="U17" s="161">
        <f t="shared" si="7"/>
        <v>2.8460028519691014</v>
      </c>
      <c r="V17" s="157">
        <v>1.6509890059337258</v>
      </c>
      <c r="W17" s="161">
        <f t="shared" si="9"/>
        <v>1.9000497050936855</v>
      </c>
      <c r="X17" s="157">
        <v>1.6528669012626787</v>
      </c>
      <c r="Y17" s="161">
        <f t="shared" si="10"/>
        <v>1.8981718097647327</v>
      </c>
      <c r="Z17" s="157">
        <v>3.8486111327713379</v>
      </c>
      <c r="AA17" s="161">
        <f t="shared" si="11"/>
        <v>-0.29757242174392662</v>
      </c>
      <c r="AB17" s="157">
        <v>3.7075872528160199</v>
      </c>
      <c r="AC17" s="161">
        <f t="shared" si="12"/>
        <v>-0.15654854178860855</v>
      </c>
    </row>
    <row r="18" spans="1:29" ht="17.25" customHeight="1" x14ac:dyDescent="0.25">
      <c r="A18" s="159">
        <f t="shared" si="8"/>
        <v>13</v>
      </c>
      <c r="B18" s="4" t="s">
        <v>188</v>
      </c>
      <c r="C18" s="1">
        <v>3.085</v>
      </c>
      <c r="D18" s="1">
        <v>0.16500000000000001</v>
      </c>
      <c r="E18" s="183">
        <f t="shared" si="0"/>
        <v>3.25</v>
      </c>
      <c r="F18" s="7">
        <v>4.4200000000000003E-2</v>
      </c>
      <c r="G18" s="160">
        <f t="shared" si="1"/>
        <v>3.4002929483155473</v>
      </c>
      <c r="H18" s="5"/>
      <c r="I18" s="1">
        <v>0</v>
      </c>
      <c r="J18" s="2"/>
      <c r="K18" s="2">
        <v>0</v>
      </c>
      <c r="L18" s="2">
        <v>7.0000000000000007E-2</v>
      </c>
      <c r="M18" s="2"/>
      <c r="N18" s="160">
        <f t="shared" si="2"/>
        <v>3.4702929483155471</v>
      </c>
      <c r="O18" s="157">
        <v>1.5590808883238925</v>
      </c>
      <c r="P18" s="161">
        <f t="shared" si="3"/>
        <v>1.9112120599916547</v>
      </c>
      <c r="Q18" s="161">
        <f>N18-N15</f>
        <v>-0.1194554331450095</v>
      </c>
      <c r="R18" s="161">
        <f>N18-N15</f>
        <v>-0.1194554331450095</v>
      </c>
      <c r="S18" s="161">
        <f>N18-N15</f>
        <v>-0.1194554331450095</v>
      </c>
      <c r="T18" s="157">
        <v>2.1505041056023284</v>
      </c>
      <c r="U18" s="161">
        <f t="shared" si="7"/>
        <v>1.3197888427132187</v>
      </c>
      <c r="V18" s="157">
        <v>1.6072497528904717</v>
      </c>
      <c r="W18" s="161">
        <f t="shared" si="9"/>
        <v>1.8630431954250755</v>
      </c>
      <c r="X18" s="157">
        <v>3.9069720813496169</v>
      </c>
      <c r="Y18" s="161">
        <f t="shared" si="10"/>
        <v>-0.4366791330340698</v>
      </c>
      <c r="Z18" s="157">
        <v>1.4397759476923078</v>
      </c>
      <c r="AA18" s="161">
        <f t="shared" si="11"/>
        <v>2.0305170006232394</v>
      </c>
      <c r="AB18" s="157">
        <v>1.4608279036629119</v>
      </c>
      <c r="AC18" s="161">
        <f t="shared" si="12"/>
        <v>2.009465044652635</v>
      </c>
    </row>
    <row r="19" spans="1:29" ht="17.25" customHeight="1" x14ac:dyDescent="0.25">
      <c r="A19" s="159">
        <f t="shared" si="8"/>
        <v>14</v>
      </c>
      <c r="B19" s="4" t="s">
        <v>245</v>
      </c>
      <c r="C19" s="2">
        <v>2.851</v>
      </c>
      <c r="D19" s="1">
        <v>6.3E-2</v>
      </c>
      <c r="E19" s="183">
        <f t="shared" si="0"/>
        <v>2.9140000000000001</v>
      </c>
      <c r="F19" s="7">
        <v>4.4200000000000003E-2</v>
      </c>
      <c r="G19" s="160">
        <f t="shared" si="1"/>
        <v>3.0487549696589245</v>
      </c>
      <c r="H19" s="2"/>
      <c r="I19" s="1">
        <v>0</v>
      </c>
      <c r="J19" s="1"/>
      <c r="K19" s="1">
        <v>0.23258999999999999</v>
      </c>
      <c r="L19" s="1">
        <v>6.4000000000000001E-2</v>
      </c>
      <c r="M19" s="2"/>
      <c r="N19" s="160">
        <f t="shared" si="2"/>
        <v>3.3453449696589246</v>
      </c>
      <c r="O19" s="157">
        <v>2.4071804240280845</v>
      </c>
      <c r="P19" s="161">
        <f t="shared" si="3"/>
        <v>0.93816454563084006</v>
      </c>
      <c r="Q19" s="161">
        <f t="shared" si="4"/>
        <v>7.8266603892029885E-3</v>
      </c>
      <c r="R19" s="161">
        <f t="shared" si="5"/>
        <v>7.8266603892029885E-3</v>
      </c>
      <c r="S19" s="161">
        <f t="shared" si="6"/>
        <v>7.8266603892029885E-3</v>
      </c>
      <c r="T19" s="157">
        <v>2.6057582371894816</v>
      </c>
      <c r="U19" s="161">
        <f t="shared" si="7"/>
        <v>0.73958673246944295</v>
      </c>
      <c r="V19" s="157">
        <v>3.9901661298647668</v>
      </c>
      <c r="W19" s="161">
        <f t="shared" si="9"/>
        <v>-0.64482116020584224</v>
      </c>
      <c r="X19" s="157">
        <v>1.4282623576899196</v>
      </c>
      <c r="Y19" s="161">
        <f t="shared" si="10"/>
        <v>1.917082611969005</v>
      </c>
      <c r="Z19" s="157">
        <v>1.3981942231296103</v>
      </c>
      <c r="AA19" s="161">
        <f t="shared" si="11"/>
        <v>1.9471507465293143</v>
      </c>
      <c r="AB19" s="157">
        <v>1.4163543244680852</v>
      </c>
      <c r="AC19" s="161">
        <f t="shared" si="12"/>
        <v>1.9289906451908394</v>
      </c>
    </row>
    <row r="20" spans="1:29" ht="17.25" customHeight="1" x14ac:dyDescent="0.25">
      <c r="A20" s="159">
        <f t="shared" si="8"/>
        <v>15</v>
      </c>
      <c r="B20" s="44" t="s">
        <v>18</v>
      </c>
      <c r="C20" s="1">
        <v>3.226</v>
      </c>
      <c r="D20" s="9">
        <v>-3.5999999999999997E-2</v>
      </c>
      <c r="E20" s="183">
        <f t="shared" si="0"/>
        <v>3.19</v>
      </c>
      <c r="F20" s="7">
        <v>4.4200000000000003E-2</v>
      </c>
      <c r="G20" s="160">
        <f t="shared" si="1"/>
        <v>3.3375183092697216</v>
      </c>
      <c r="H20" s="2"/>
      <c r="I20" s="1">
        <v>0</v>
      </c>
      <c r="J20" s="2"/>
      <c r="K20" s="2"/>
      <c r="L20" s="2"/>
      <c r="M20" s="2"/>
      <c r="N20" s="160">
        <f t="shared" si="2"/>
        <v>3.3375183092697216</v>
      </c>
      <c r="O20" s="157">
        <v>3.420833290886228</v>
      </c>
      <c r="P20" s="161">
        <f t="shared" si="3"/>
        <v>-8.3314981616506412E-2</v>
      </c>
      <c r="Q20" s="161">
        <f t="shared" si="4"/>
        <v>5.2711864406775888E-3</v>
      </c>
      <c r="R20" s="161">
        <f t="shared" si="5"/>
        <v>5.2711864406775888E-3</v>
      </c>
      <c r="S20" s="161">
        <f t="shared" si="6"/>
        <v>5.2711864406775888E-3</v>
      </c>
      <c r="T20" s="157">
        <v>1.6800748362956035</v>
      </c>
      <c r="U20" s="161">
        <f t="shared" si="7"/>
        <v>1.6574434729741181</v>
      </c>
      <c r="V20" s="157">
        <v>3.3451422912150304</v>
      </c>
      <c r="W20" s="161">
        <f t="shared" si="9"/>
        <v>-7.6239819453087776E-3</v>
      </c>
      <c r="X20" s="157">
        <v>2.1743697930035188</v>
      </c>
      <c r="Y20" s="161">
        <f t="shared" si="10"/>
        <v>1.1631485162662027</v>
      </c>
      <c r="Z20" s="157">
        <v>2.3230222655426771</v>
      </c>
      <c r="AA20" s="161">
        <f t="shared" si="11"/>
        <v>1.0144960437270445</v>
      </c>
      <c r="AB20" s="157">
        <v>2.0234158906967039</v>
      </c>
      <c r="AC20" s="161">
        <f t="shared" si="12"/>
        <v>1.3141024185730177</v>
      </c>
    </row>
    <row r="21" spans="1:29" ht="19.5" customHeight="1" x14ac:dyDescent="0.25">
      <c r="A21" s="159">
        <f t="shared" si="8"/>
        <v>16</v>
      </c>
      <c r="B21" s="44" t="s">
        <v>103</v>
      </c>
      <c r="C21" s="1">
        <v>3.1520000000000001</v>
      </c>
      <c r="D21" s="9">
        <v>-3.49E-2</v>
      </c>
      <c r="E21" s="183">
        <f t="shared" si="0"/>
        <v>3.1171000000000002</v>
      </c>
      <c r="F21" s="7">
        <v>4.4200000000000003E-2</v>
      </c>
      <c r="G21" s="160">
        <f t="shared" si="1"/>
        <v>3.2612471228290438</v>
      </c>
      <c r="H21" s="2"/>
      <c r="I21" s="1">
        <v>0</v>
      </c>
      <c r="J21" s="2"/>
      <c r="K21" s="2"/>
      <c r="L21" s="2">
        <v>7.0999999999999994E-2</v>
      </c>
      <c r="M21" s="2"/>
      <c r="N21" s="160">
        <f t="shared" si="2"/>
        <v>3.332247122829044</v>
      </c>
      <c r="O21" s="157">
        <v>3.4980878819179853</v>
      </c>
      <c r="P21" s="161">
        <f t="shared" si="3"/>
        <v>-0.16584075908894125</v>
      </c>
      <c r="Q21" s="161">
        <f t="shared" si="4"/>
        <v>5.1561257585270859E-3</v>
      </c>
      <c r="R21" s="161">
        <f t="shared" si="5"/>
        <v>5.1561257585270859E-3</v>
      </c>
      <c r="S21" s="161">
        <f t="shared" si="6"/>
        <v>5.1561257585270859E-3</v>
      </c>
      <c r="T21" s="157">
        <v>2.8181218168589548</v>
      </c>
      <c r="U21" s="161">
        <f t="shared" si="7"/>
        <v>0.51412530597008921</v>
      </c>
      <c r="V21" s="157">
        <v>1.539473174562993</v>
      </c>
      <c r="W21" s="161">
        <f t="shared" si="9"/>
        <v>1.792773948266051</v>
      </c>
      <c r="X21" s="157">
        <v>1.5617854377975573</v>
      </c>
      <c r="Y21" s="161">
        <f t="shared" si="10"/>
        <v>1.7704616850314867</v>
      </c>
      <c r="Z21" s="157">
        <v>1.3907326846680717</v>
      </c>
      <c r="AA21" s="161">
        <f t="shared" si="11"/>
        <v>1.9415144381609724</v>
      </c>
      <c r="AB21" s="157">
        <v>1.4229467316437212</v>
      </c>
      <c r="AC21" s="161">
        <f t="shared" si="12"/>
        <v>1.9093003911853228</v>
      </c>
    </row>
    <row r="22" spans="1:29" ht="17.25" customHeight="1" x14ac:dyDescent="0.25">
      <c r="A22" s="159">
        <f t="shared" si="8"/>
        <v>17</v>
      </c>
      <c r="B22" s="4" t="s">
        <v>70</v>
      </c>
      <c r="C22" s="2">
        <v>2.9510000000000001</v>
      </c>
      <c r="D22" s="1"/>
      <c r="E22" s="183">
        <f t="shared" si="0"/>
        <v>2.9510000000000001</v>
      </c>
      <c r="F22" s="7">
        <v>4.4200000000000003E-2</v>
      </c>
      <c r="G22" s="160">
        <f t="shared" si="1"/>
        <v>3.0874659970705172</v>
      </c>
      <c r="H22" s="2">
        <v>0.15</v>
      </c>
      <c r="I22" s="1">
        <v>4.7625000000000001E-2</v>
      </c>
      <c r="J22" s="2"/>
      <c r="K22" s="2"/>
      <c r="L22" s="2">
        <v>4.2000000000000003E-2</v>
      </c>
      <c r="M22" s="2"/>
      <c r="N22" s="160">
        <f t="shared" si="2"/>
        <v>3.3270909970705169</v>
      </c>
      <c r="O22" s="157">
        <v>2.5944006793503278</v>
      </c>
      <c r="P22" s="161">
        <f t="shared" si="3"/>
        <v>0.73269031772018911</v>
      </c>
      <c r="Q22" s="161">
        <f t="shared" si="4"/>
        <v>0.20009099707051714</v>
      </c>
      <c r="R22" s="161">
        <f t="shared" si="5"/>
        <v>0.20009099707051714</v>
      </c>
      <c r="S22" s="161">
        <f t="shared" si="6"/>
        <v>0.20009099707051714</v>
      </c>
      <c r="T22" s="157">
        <v>1.5424592038249663</v>
      </c>
      <c r="U22" s="161">
        <f t="shared" si="7"/>
        <v>1.7846317932455507</v>
      </c>
      <c r="V22" s="157">
        <v>2.052</v>
      </c>
      <c r="W22" s="161">
        <f t="shared" si="9"/>
        <v>1.2750909970705169</v>
      </c>
      <c r="X22" s="157">
        <v>3.2819292072034774</v>
      </c>
      <c r="Y22" s="161">
        <f t="shared" si="10"/>
        <v>4.5161789867039559E-2</v>
      </c>
      <c r="Z22" s="157">
        <v>3.0273972602739732</v>
      </c>
      <c r="AA22" s="161">
        <f t="shared" si="11"/>
        <v>0.29969373679654376</v>
      </c>
      <c r="AB22" s="157">
        <v>3.2644972882770129</v>
      </c>
      <c r="AC22" s="161">
        <f t="shared" si="12"/>
        <v>6.259370879350401E-2</v>
      </c>
    </row>
    <row r="23" spans="1:29" ht="15.75" customHeight="1" x14ac:dyDescent="0.25">
      <c r="A23" s="159">
        <f t="shared" si="8"/>
        <v>18</v>
      </c>
      <c r="B23" s="4" t="s">
        <v>54</v>
      </c>
      <c r="C23" s="1">
        <v>3.1259999999999999</v>
      </c>
      <c r="D23" s="1">
        <v>1E-3</v>
      </c>
      <c r="E23" s="183">
        <f t="shared" si="0"/>
        <v>3.1269999999999998</v>
      </c>
      <c r="F23" s="7"/>
      <c r="G23" s="160">
        <f t="shared" si="1"/>
        <v>3.1269999999999998</v>
      </c>
      <c r="H23" s="2"/>
      <c r="I23" s="1">
        <v>0</v>
      </c>
      <c r="J23" s="2"/>
      <c r="K23" s="2"/>
      <c r="L23" s="2"/>
      <c r="M23" s="2"/>
      <c r="N23" s="160">
        <f t="shared" si="2"/>
        <v>3.1269999999999998</v>
      </c>
      <c r="O23" s="157">
        <v>2.5933627172784171</v>
      </c>
      <c r="P23" s="161">
        <f t="shared" si="3"/>
        <v>0.53363728272158273</v>
      </c>
      <c r="Q23" s="161">
        <f t="shared" si="4"/>
        <v>3.32565390249E-2</v>
      </c>
      <c r="R23" s="161">
        <f t="shared" si="5"/>
        <v>3.32565390249E-2</v>
      </c>
      <c r="S23" s="161">
        <f t="shared" si="6"/>
        <v>3.32565390249E-2</v>
      </c>
      <c r="T23" s="157">
        <v>1.5112774139902296</v>
      </c>
      <c r="U23" s="161">
        <f t="shared" si="7"/>
        <v>1.6157225860097701</v>
      </c>
      <c r="V23" s="157">
        <v>2.601</v>
      </c>
      <c r="W23" s="161">
        <f t="shared" si="9"/>
        <v>0.5259999999999998</v>
      </c>
      <c r="X23" s="157">
        <v>3.3533429931691163</v>
      </c>
      <c r="Y23" s="161">
        <f t="shared" si="10"/>
        <v>-0.22634299316911655</v>
      </c>
      <c r="Z23" s="157">
        <v>3.0010537407797684</v>
      </c>
      <c r="AA23" s="161">
        <f t="shared" si="11"/>
        <v>0.12594625922023139</v>
      </c>
      <c r="AB23" s="157">
        <v>3.2458281184814348</v>
      </c>
      <c r="AC23" s="161">
        <f t="shared" si="12"/>
        <v>-0.11882811848143504</v>
      </c>
    </row>
    <row r="24" spans="1:29" ht="17.25" customHeight="1" x14ac:dyDescent="0.25">
      <c r="A24" s="159">
        <f t="shared" si="8"/>
        <v>19</v>
      </c>
      <c r="B24" s="4" t="s">
        <v>168</v>
      </c>
      <c r="C24" s="1">
        <v>2.9660000000000002</v>
      </c>
      <c r="D24" s="1">
        <v>-8.9999999999999993E-3</v>
      </c>
      <c r="E24" s="183">
        <f t="shared" si="0"/>
        <v>2.9570000000000003</v>
      </c>
      <c r="F24" s="7">
        <v>4.4200000000000003E-2</v>
      </c>
      <c r="G24" s="160">
        <f t="shared" si="1"/>
        <v>3.0937434609750998</v>
      </c>
      <c r="H24" s="2"/>
      <c r="I24" s="1">
        <v>0</v>
      </c>
      <c r="J24" s="2"/>
      <c r="K24" s="2"/>
      <c r="L24" s="2"/>
      <c r="M24" s="2"/>
      <c r="N24" s="160">
        <f t="shared" si="2"/>
        <v>3.0937434609750998</v>
      </c>
      <c r="O24" s="157">
        <v>1.5003771134909873</v>
      </c>
      <c r="P24" s="161">
        <f t="shared" si="3"/>
        <v>1.5933663474841124</v>
      </c>
      <c r="Q24" s="161">
        <f>N24-N26</f>
        <v>4.3942247332078299E-2</v>
      </c>
      <c r="R24" s="161">
        <f>N24-N26</f>
        <v>4.3942247332078299E-2</v>
      </c>
      <c r="S24" s="161">
        <f>N24-N26</f>
        <v>4.3942247332078299E-2</v>
      </c>
      <c r="T24" s="157">
        <v>1.8335983785469288</v>
      </c>
      <c r="U24" s="161">
        <f t="shared" si="7"/>
        <v>1.260145082428171</v>
      </c>
      <c r="V24" s="157">
        <v>3.2283223617993189</v>
      </c>
      <c r="W24" s="161">
        <f t="shared" si="9"/>
        <v>-0.13457890082421908</v>
      </c>
      <c r="X24" s="157">
        <v>3.1048905764852002</v>
      </c>
      <c r="Y24" s="161">
        <f t="shared" si="10"/>
        <v>-1.1147115510100392E-2</v>
      </c>
      <c r="Z24" s="157">
        <v>3.0963162539515277</v>
      </c>
      <c r="AA24" s="161">
        <f t="shared" si="11"/>
        <v>-2.5727929764278734E-3</v>
      </c>
      <c r="AB24" s="157">
        <v>3.2308640488110134</v>
      </c>
      <c r="AC24" s="161">
        <f t="shared" si="12"/>
        <v>-0.13712058783591363</v>
      </c>
    </row>
    <row r="25" spans="1:29" ht="16.5" customHeight="1" x14ac:dyDescent="0.25">
      <c r="A25" s="159">
        <f t="shared" si="8"/>
        <v>20</v>
      </c>
      <c r="B25" s="4" t="s">
        <v>22</v>
      </c>
      <c r="C25" s="1">
        <v>3.0640000000000001</v>
      </c>
      <c r="D25" s="1">
        <v>3.0000000000000001E-3</v>
      </c>
      <c r="E25" s="183">
        <f t="shared" si="0"/>
        <v>3.0670000000000002</v>
      </c>
      <c r="F25" s="7"/>
      <c r="G25" s="160">
        <f t="shared" si="1"/>
        <v>3.0670000000000002</v>
      </c>
      <c r="H25" s="2"/>
      <c r="I25" s="1">
        <v>0</v>
      </c>
      <c r="J25" s="2"/>
      <c r="K25" s="2"/>
      <c r="L25" s="2"/>
      <c r="M25" s="2"/>
      <c r="N25" s="160">
        <f t="shared" si="2"/>
        <v>3.0670000000000002</v>
      </c>
      <c r="P25" s="161"/>
      <c r="Q25" s="161"/>
      <c r="R25" s="161"/>
      <c r="S25" s="161"/>
      <c r="U25" s="161"/>
      <c r="W25" s="161"/>
      <c r="Y25" s="161"/>
      <c r="Z25" s="157">
        <v>1.5646569543204012</v>
      </c>
      <c r="AA25" s="161">
        <f t="shared" si="11"/>
        <v>1.502343045679599</v>
      </c>
      <c r="AB25" s="157">
        <v>1.5522760268592657</v>
      </c>
      <c r="AC25" s="161">
        <f t="shared" si="12"/>
        <v>1.5147239731407345</v>
      </c>
    </row>
    <row r="26" spans="1:29" ht="25.5" customHeight="1" x14ac:dyDescent="0.25">
      <c r="A26" s="159">
        <f t="shared" si="8"/>
        <v>21</v>
      </c>
      <c r="B26" s="13" t="s">
        <v>311</v>
      </c>
      <c r="C26" s="1">
        <v>3.101</v>
      </c>
      <c r="D26" s="1">
        <v>-0.186</v>
      </c>
      <c r="E26" s="183">
        <f t="shared" si="0"/>
        <v>2.915</v>
      </c>
      <c r="F26" s="7">
        <v>4.4200000000000003E-2</v>
      </c>
      <c r="G26" s="160">
        <f t="shared" si="1"/>
        <v>3.0498012136430215</v>
      </c>
      <c r="H26" s="2"/>
      <c r="I26" s="1"/>
      <c r="J26" s="2"/>
      <c r="K26" s="2"/>
      <c r="L26" s="2"/>
      <c r="M26" s="2"/>
      <c r="N26" s="160">
        <f t="shared" si="2"/>
        <v>3.0498012136430215</v>
      </c>
      <c r="O26" s="157">
        <v>1.907</v>
      </c>
      <c r="P26" s="161">
        <f t="shared" si="3"/>
        <v>1.1428012136430215</v>
      </c>
      <c r="Q26" s="161" t="e">
        <f>N26-#REF!</f>
        <v>#REF!</v>
      </c>
      <c r="R26" s="161" t="e">
        <f>N26-#REF!</f>
        <v>#REF!</v>
      </c>
      <c r="S26" s="161" t="e">
        <f>N26-#REF!</f>
        <v>#REF!</v>
      </c>
      <c r="T26" s="157">
        <v>2.1025880885562831</v>
      </c>
      <c r="U26" s="161">
        <f t="shared" si="7"/>
        <v>0.94721312508673838</v>
      </c>
      <c r="V26" s="157">
        <v>3.4801030988696198</v>
      </c>
      <c r="W26" s="161">
        <f t="shared" si="9"/>
        <v>-0.43030188522659829</v>
      </c>
      <c r="X26" s="157">
        <v>1.5429562156919567</v>
      </c>
      <c r="Y26" s="161">
        <f t="shared" si="10"/>
        <v>1.5068449979510647</v>
      </c>
      <c r="Z26" s="157">
        <v>2.339</v>
      </c>
      <c r="AA26" s="161">
        <f t="shared" si="11"/>
        <v>0.71080121364302151</v>
      </c>
      <c r="AB26" s="157">
        <v>2.3739999999999997</v>
      </c>
      <c r="AC26" s="161">
        <f t="shared" si="12"/>
        <v>0.67580121364302181</v>
      </c>
    </row>
    <row r="27" spans="1:29" ht="17.25" customHeight="1" x14ac:dyDescent="0.25">
      <c r="A27" s="159">
        <f t="shared" si="8"/>
        <v>22</v>
      </c>
      <c r="B27" s="13" t="s">
        <v>167</v>
      </c>
      <c r="C27" s="1">
        <v>2.927</v>
      </c>
      <c r="D27" s="1">
        <v>-1E-3</v>
      </c>
      <c r="E27" s="183">
        <f t="shared" si="0"/>
        <v>2.9260000000000002</v>
      </c>
      <c r="F27" s="7"/>
      <c r="G27" s="160">
        <f t="shared" si="1"/>
        <v>2.9260000000000002</v>
      </c>
      <c r="H27" s="2"/>
      <c r="I27" s="1">
        <v>0</v>
      </c>
      <c r="J27" s="2"/>
      <c r="K27" s="2"/>
      <c r="L27" s="2"/>
      <c r="M27" s="2"/>
      <c r="N27" s="160">
        <f t="shared" si="2"/>
        <v>2.9260000000000002</v>
      </c>
      <c r="P27" s="161"/>
      <c r="Q27" s="161"/>
      <c r="R27" s="161"/>
      <c r="S27" s="161"/>
      <c r="U27" s="161"/>
      <c r="W27" s="161"/>
      <c r="Y27" s="161"/>
      <c r="Z27" s="157">
        <v>2.98</v>
      </c>
      <c r="AA27" s="161">
        <f t="shared" si="11"/>
        <v>-5.3999999999999826E-2</v>
      </c>
      <c r="AB27" s="157">
        <v>3.0609999999999999</v>
      </c>
      <c r="AC27" s="161">
        <f t="shared" si="12"/>
        <v>-0.13499999999999979</v>
      </c>
    </row>
    <row r="28" spans="1:29" ht="17.25" customHeight="1" x14ac:dyDescent="0.25">
      <c r="A28" s="159">
        <f t="shared" si="8"/>
        <v>23</v>
      </c>
      <c r="B28" s="4" t="s">
        <v>27</v>
      </c>
      <c r="C28" s="2">
        <v>2.702</v>
      </c>
      <c r="D28" s="1">
        <v>5.799E-2</v>
      </c>
      <c r="E28" s="183">
        <f t="shared" si="0"/>
        <v>2.7599900000000002</v>
      </c>
      <c r="F28" s="7">
        <v>4.4200000000000003E-2</v>
      </c>
      <c r="G28" s="160">
        <f t="shared" si="1"/>
        <v>2.8876229336681316</v>
      </c>
      <c r="H28" s="2"/>
      <c r="I28" s="1">
        <v>0</v>
      </c>
      <c r="J28" s="2"/>
      <c r="K28" s="2"/>
      <c r="L28" s="2"/>
      <c r="M28" s="2"/>
      <c r="N28" s="160">
        <f t="shared" si="2"/>
        <v>2.8876229336681316</v>
      </c>
      <c r="O28" s="157">
        <v>1.6171687997527844</v>
      </c>
      <c r="P28" s="161">
        <f>N25-O28</f>
        <v>1.4498312002472158</v>
      </c>
      <c r="Q28" s="161">
        <f>N25-N29</f>
        <v>0.18355157982841641</v>
      </c>
      <c r="R28" s="161">
        <f>N25-N29</f>
        <v>0.18355157982841641</v>
      </c>
      <c r="S28" s="161">
        <f>N25-N29</f>
        <v>0.18355157982841641</v>
      </c>
      <c r="T28" s="157">
        <v>3.070366905727056</v>
      </c>
      <c r="U28" s="161">
        <f>N25-T28</f>
        <v>-3.3669057270557801E-3</v>
      </c>
      <c r="V28" s="157">
        <v>3.4649999999999999</v>
      </c>
      <c r="W28" s="161">
        <f>N25-V28</f>
        <v>-0.39799999999999969</v>
      </c>
      <c r="X28" s="157">
        <v>2.8410000000000002</v>
      </c>
      <c r="Y28" s="161">
        <f>N25-X28</f>
        <v>0.22599999999999998</v>
      </c>
      <c r="Z28" s="157">
        <v>1.5269495787671234</v>
      </c>
      <c r="AA28" s="161">
        <f t="shared" si="11"/>
        <v>1.3606733549010082</v>
      </c>
      <c r="AB28" s="157">
        <v>1.4079840167918232</v>
      </c>
      <c r="AC28" s="161">
        <f t="shared" si="12"/>
        <v>1.4796389168763084</v>
      </c>
    </row>
    <row r="29" spans="1:29" ht="29.25" customHeight="1" x14ac:dyDescent="0.25">
      <c r="A29" s="159">
        <f t="shared" si="8"/>
        <v>24</v>
      </c>
      <c r="B29" s="13" t="s">
        <v>296</v>
      </c>
      <c r="C29" s="1">
        <v>2.7559999999999998</v>
      </c>
      <c r="D29" s="1"/>
      <c r="E29" s="183">
        <f t="shared" si="0"/>
        <v>2.7559999999999998</v>
      </c>
      <c r="F29" s="7">
        <v>4.4200000000000003E-2</v>
      </c>
      <c r="G29" s="160">
        <f t="shared" si="1"/>
        <v>2.8834484201715838</v>
      </c>
      <c r="H29" s="2"/>
      <c r="I29" s="1"/>
      <c r="J29" s="2"/>
      <c r="K29" s="2"/>
      <c r="L29" s="2"/>
      <c r="M29" s="2"/>
      <c r="N29" s="160">
        <f t="shared" si="2"/>
        <v>2.8834484201715838</v>
      </c>
      <c r="O29" s="157">
        <v>1.6656118858493769</v>
      </c>
      <c r="P29" s="161">
        <f t="shared" si="3"/>
        <v>1.2178365343222068</v>
      </c>
      <c r="Q29" s="161">
        <f>N29-N27</f>
        <v>-4.2551579828416397E-2</v>
      </c>
      <c r="R29" s="161">
        <f>N29-N27</f>
        <v>-4.2551579828416397E-2</v>
      </c>
      <c r="S29" s="161">
        <f>N29-N27</f>
        <v>-4.2551579828416397E-2</v>
      </c>
      <c r="T29" s="157">
        <v>2.6528583307348508</v>
      </c>
      <c r="U29" s="161">
        <f t="shared" si="7"/>
        <v>0.23059008943673298</v>
      </c>
      <c r="V29" s="157">
        <v>3.1150000000000002</v>
      </c>
      <c r="W29" s="161">
        <f t="shared" si="9"/>
        <v>-0.23155157982841645</v>
      </c>
      <c r="X29" s="157">
        <v>3.0880000000000001</v>
      </c>
      <c r="Y29" s="161">
        <f t="shared" si="10"/>
        <v>-0.20455157982841632</v>
      </c>
      <c r="Z29" s="157">
        <v>1.5270992099578504</v>
      </c>
      <c r="AA29" s="161">
        <f t="shared" si="11"/>
        <v>1.3563492102137333</v>
      </c>
      <c r="AB29" s="157">
        <v>1.4125739208385484</v>
      </c>
      <c r="AC29" s="161">
        <f t="shared" si="12"/>
        <v>1.4708744993330354</v>
      </c>
    </row>
    <row r="30" spans="1:29" ht="17.25" customHeight="1" x14ac:dyDescent="0.25">
      <c r="A30" s="159">
        <f t="shared" si="8"/>
        <v>25</v>
      </c>
      <c r="B30" s="4" t="s">
        <v>98</v>
      </c>
      <c r="C30" s="1">
        <v>2.6059999999999999</v>
      </c>
      <c r="D30" s="9">
        <v>-9.9000000000000008E-3</v>
      </c>
      <c r="E30" s="183">
        <f t="shared" si="0"/>
        <v>2.5960999999999999</v>
      </c>
      <c r="F30" s="7">
        <v>4.4200000000000003E-2</v>
      </c>
      <c r="G30" s="160">
        <f t="shared" si="1"/>
        <v>2.7161540071144592</v>
      </c>
      <c r="H30" s="5">
        <v>0.15</v>
      </c>
      <c r="I30" s="1" t="s">
        <v>280</v>
      </c>
      <c r="J30" s="2"/>
      <c r="K30" s="2"/>
      <c r="L30" s="2"/>
      <c r="M30" s="2"/>
      <c r="N30" s="160">
        <f t="shared" si="2"/>
        <v>2.8661540071144591</v>
      </c>
      <c r="O30" s="157">
        <v>2.681</v>
      </c>
      <c r="P30" s="161">
        <f t="shared" si="3"/>
        <v>0.18515400711445906</v>
      </c>
      <c r="Q30" s="161">
        <f t="shared" si="4"/>
        <v>8.015400711445908E-2</v>
      </c>
      <c r="R30" s="161">
        <f t="shared" si="5"/>
        <v>8.015400711445908E-2</v>
      </c>
      <c r="S30" s="161">
        <f t="shared" si="6"/>
        <v>8.015400711445908E-2</v>
      </c>
      <c r="T30" s="157">
        <v>1.514156428645671</v>
      </c>
      <c r="U30" s="161">
        <f t="shared" si="7"/>
        <v>1.3519975784687881</v>
      </c>
      <c r="V30" s="157">
        <v>1.8737888592959635</v>
      </c>
      <c r="W30" s="161">
        <f t="shared" si="9"/>
        <v>0.99236514781849561</v>
      </c>
      <c r="X30" s="157">
        <v>4.9058062512937282</v>
      </c>
      <c r="Y30" s="161">
        <f t="shared" si="10"/>
        <v>-2.039652244179269</v>
      </c>
      <c r="Z30" s="157">
        <v>4.8413804004214969</v>
      </c>
      <c r="AA30" s="161">
        <f t="shared" si="11"/>
        <v>-1.9752263933070378</v>
      </c>
      <c r="AB30" s="157">
        <v>4.2489791405924073</v>
      </c>
      <c r="AC30" s="161">
        <f t="shared" si="12"/>
        <v>-1.3828251334779482</v>
      </c>
    </row>
    <row r="31" spans="1:29" ht="17.25" customHeight="1" x14ac:dyDescent="0.25">
      <c r="A31" s="159">
        <f t="shared" si="8"/>
        <v>26</v>
      </c>
      <c r="B31" s="4" t="s">
        <v>60</v>
      </c>
      <c r="C31" s="1">
        <v>2.7789999999999999</v>
      </c>
      <c r="D31" s="9">
        <v>7.0000000000000001E-3</v>
      </c>
      <c r="E31" s="183">
        <f t="shared" si="0"/>
        <v>2.786</v>
      </c>
      <c r="F31" s="7"/>
      <c r="G31" s="160">
        <f t="shared" si="1"/>
        <v>2.786</v>
      </c>
      <c r="H31" s="2"/>
      <c r="I31" s="1">
        <v>0</v>
      </c>
      <c r="J31" s="2"/>
      <c r="K31" s="2"/>
      <c r="L31" s="2"/>
      <c r="M31" s="2"/>
      <c r="N31" s="160">
        <f t="shared" si="2"/>
        <v>2.786</v>
      </c>
      <c r="O31" s="157">
        <v>2.7810000000000001</v>
      </c>
      <c r="P31" s="161">
        <f t="shared" si="3"/>
        <v>4.9999999999998934E-3</v>
      </c>
      <c r="Q31" s="161">
        <f t="shared" si="4"/>
        <v>9.738439003976751E-4</v>
      </c>
      <c r="R31" s="161">
        <f t="shared" si="5"/>
        <v>9.738439003976751E-4</v>
      </c>
      <c r="S31" s="161">
        <f t="shared" si="6"/>
        <v>9.738439003976751E-4</v>
      </c>
      <c r="T31" s="157">
        <v>1.998</v>
      </c>
      <c r="U31" s="161">
        <f t="shared" si="7"/>
        <v>0.78800000000000003</v>
      </c>
      <c r="V31" s="157">
        <v>1.7904667870341695</v>
      </c>
      <c r="W31" s="161">
        <f t="shared" si="9"/>
        <v>0.99553321296583053</v>
      </c>
      <c r="X31" s="157">
        <v>3.306</v>
      </c>
      <c r="Y31" s="161">
        <f t="shared" si="10"/>
        <v>-0.52</v>
      </c>
      <c r="Z31" s="157">
        <v>3.1020000000000003</v>
      </c>
      <c r="AA31" s="161">
        <f t="shared" si="11"/>
        <v>-0.31600000000000028</v>
      </c>
      <c r="AB31" s="157">
        <v>3.177</v>
      </c>
      <c r="AC31" s="161">
        <f t="shared" si="12"/>
        <v>-0.39100000000000001</v>
      </c>
    </row>
    <row r="32" spans="1:29" ht="17.25" customHeight="1" x14ac:dyDescent="0.25">
      <c r="A32" s="159">
        <f t="shared" si="8"/>
        <v>27</v>
      </c>
      <c r="B32" s="13" t="s">
        <v>310</v>
      </c>
      <c r="C32" s="1">
        <v>2.67</v>
      </c>
      <c r="D32" s="1">
        <v>-0.161</v>
      </c>
      <c r="E32" s="183">
        <f t="shared" si="0"/>
        <v>2.5089999999999999</v>
      </c>
      <c r="F32" s="7">
        <v>4.4200000000000003E-2</v>
      </c>
      <c r="G32" s="160">
        <f t="shared" si="1"/>
        <v>2.6250261560996022</v>
      </c>
      <c r="H32" s="2"/>
      <c r="I32" s="1"/>
      <c r="J32" s="2"/>
      <c r="K32" s="2"/>
      <c r="L32" s="2">
        <v>0.16</v>
      </c>
      <c r="M32" s="2"/>
      <c r="N32" s="160">
        <f t="shared" si="2"/>
        <v>2.7850261560996024</v>
      </c>
      <c r="O32" s="157">
        <v>2.3319999999999999</v>
      </c>
      <c r="P32" s="161">
        <f t="shared" si="3"/>
        <v>0.45302615609960251</v>
      </c>
      <c r="Q32" s="161">
        <f t="shared" si="4"/>
        <v>6.3358443188951341E-2</v>
      </c>
      <c r="R32" s="161">
        <f t="shared" si="5"/>
        <v>6.3358443188951341E-2</v>
      </c>
      <c r="S32" s="161">
        <f t="shared" si="6"/>
        <v>6.3358443188951341E-2</v>
      </c>
      <c r="T32" s="157">
        <v>2.3679999999999999</v>
      </c>
      <c r="U32" s="161">
        <f t="shared" si="7"/>
        <v>0.41702615609960247</v>
      </c>
      <c r="V32" s="157">
        <v>1.7731047537937441</v>
      </c>
      <c r="W32" s="161">
        <f t="shared" si="9"/>
        <v>1.0119214023058583</v>
      </c>
      <c r="X32" s="157">
        <v>3.0110000000000001</v>
      </c>
      <c r="Y32" s="161">
        <f t="shared" si="10"/>
        <v>-0.22597384390039776</v>
      </c>
      <c r="Z32" s="157">
        <v>3.0390000000000001</v>
      </c>
      <c r="AA32" s="161">
        <f t="shared" si="11"/>
        <v>-0.25397384390039779</v>
      </c>
      <c r="AB32" s="157">
        <v>2.89</v>
      </c>
      <c r="AC32" s="161">
        <f t="shared" si="12"/>
        <v>-0.10497384390039777</v>
      </c>
    </row>
    <row r="33" spans="1:29" ht="17.25" customHeight="1" x14ac:dyDescent="0.25">
      <c r="A33" s="159">
        <f t="shared" si="8"/>
        <v>28</v>
      </c>
      <c r="B33" s="4" t="s">
        <v>282</v>
      </c>
      <c r="C33" s="1">
        <v>2.488</v>
      </c>
      <c r="D33" s="1">
        <v>-0.03</v>
      </c>
      <c r="E33" s="183">
        <f t="shared" si="0"/>
        <v>2.4580000000000002</v>
      </c>
      <c r="F33" s="7">
        <v>4.4200000000000003E-2</v>
      </c>
      <c r="G33" s="160">
        <f t="shared" si="1"/>
        <v>2.5716677129106511</v>
      </c>
      <c r="H33" s="2">
        <v>0.15</v>
      </c>
      <c r="I33" s="1">
        <v>0</v>
      </c>
      <c r="J33" s="5"/>
      <c r="K33" s="1"/>
      <c r="L33" s="1"/>
      <c r="M33" s="2"/>
      <c r="N33" s="160">
        <f t="shared" si="2"/>
        <v>2.721667712910651</v>
      </c>
      <c r="O33" s="157">
        <v>2.09432160719322</v>
      </c>
      <c r="P33" s="161">
        <f t="shared" si="3"/>
        <v>0.62734610571743099</v>
      </c>
      <c r="Q33" s="161">
        <f t="shared" si="4"/>
        <v>3.3343795773174367E-2</v>
      </c>
      <c r="R33" s="161">
        <f t="shared" si="5"/>
        <v>3.3343795773174367E-2</v>
      </c>
      <c r="S33" s="161">
        <f t="shared" si="6"/>
        <v>3.3343795773174367E-2</v>
      </c>
      <c r="T33" s="157">
        <v>1.5486955617919136</v>
      </c>
      <c r="U33" s="161">
        <f t="shared" si="7"/>
        <v>1.1729721511187374</v>
      </c>
      <c r="V33" s="157">
        <v>1.753490838236812</v>
      </c>
      <c r="W33" s="161">
        <f t="shared" si="9"/>
        <v>0.96817687467383906</v>
      </c>
      <c r="X33" s="157">
        <v>3.6139999999999999</v>
      </c>
      <c r="Y33" s="161">
        <f t="shared" si="10"/>
        <v>-0.89233228708934886</v>
      </c>
      <c r="Z33" s="157">
        <v>2.9359999999999999</v>
      </c>
      <c r="AA33" s="161">
        <f t="shared" si="11"/>
        <v>-0.21433228708934893</v>
      </c>
      <c r="AB33" s="157">
        <v>2.9209999999999998</v>
      </c>
      <c r="AC33" s="161">
        <f t="shared" si="12"/>
        <v>-0.1993322870893488</v>
      </c>
    </row>
    <row r="34" spans="1:29" ht="28.5" customHeight="1" x14ac:dyDescent="0.25">
      <c r="A34" s="159">
        <f t="shared" si="8"/>
        <v>29</v>
      </c>
      <c r="B34" s="13" t="s">
        <v>298</v>
      </c>
      <c r="C34" s="1">
        <v>2.5695000000000001</v>
      </c>
      <c r="D34" s="1"/>
      <c r="E34" s="183">
        <f t="shared" si="0"/>
        <v>2.5695000000000001</v>
      </c>
      <c r="F34" s="7">
        <v>4.4200000000000003E-2</v>
      </c>
      <c r="G34" s="160">
        <f t="shared" si="1"/>
        <v>2.6883239171374766</v>
      </c>
      <c r="H34" s="2"/>
      <c r="I34" s="1"/>
      <c r="J34" s="2"/>
      <c r="K34" s="2"/>
      <c r="L34" s="2"/>
      <c r="M34" s="2"/>
      <c r="N34" s="160">
        <f t="shared" si="2"/>
        <v>2.6883239171374766</v>
      </c>
      <c r="O34" s="157">
        <v>2.02599081588611</v>
      </c>
      <c r="P34" s="161">
        <f t="shared" si="3"/>
        <v>0.66233310125136668</v>
      </c>
      <c r="Q34" s="161">
        <f t="shared" si="4"/>
        <v>4.708097928436894E-2</v>
      </c>
      <c r="R34" s="161">
        <f t="shared" si="5"/>
        <v>4.708097928436894E-2</v>
      </c>
      <c r="S34" s="161">
        <f t="shared" si="6"/>
        <v>4.708097928436894E-2</v>
      </c>
      <c r="T34" s="157">
        <v>1.5964972456085647</v>
      </c>
      <c r="U34" s="161">
        <f t="shared" si="7"/>
        <v>1.091826671528912</v>
      </c>
      <c r="V34" s="157">
        <v>1.8088725374212862</v>
      </c>
      <c r="W34" s="161">
        <f t="shared" si="9"/>
        <v>0.87945137971619047</v>
      </c>
      <c r="X34" s="157">
        <v>2.8719999999999999</v>
      </c>
      <c r="Y34" s="161">
        <f t="shared" si="10"/>
        <v>-0.18367608286252324</v>
      </c>
      <c r="Z34" s="157">
        <v>2.6042894541622759</v>
      </c>
      <c r="AA34" s="161">
        <f t="shared" si="11"/>
        <v>8.4034462975200785E-2</v>
      </c>
      <c r="AB34" s="157">
        <v>2.56554170880267</v>
      </c>
      <c r="AC34" s="161">
        <f t="shared" si="12"/>
        <v>0.12278220833480669</v>
      </c>
    </row>
    <row r="35" spans="1:29" ht="17.25" customHeight="1" x14ac:dyDescent="0.25">
      <c r="A35" s="159">
        <f t="shared" si="8"/>
        <v>30</v>
      </c>
      <c r="B35" s="13" t="s">
        <v>297</v>
      </c>
      <c r="C35" s="1">
        <v>2.5245000000000002</v>
      </c>
      <c r="D35" s="1"/>
      <c r="E35" s="183">
        <f t="shared" si="0"/>
        <v>2.5245000000000002</v>
      </c>
      <c r="F35" s="7">
        <v>4.4200000000000003E-2</v>
      </c>
      <c r="G35" s="160">
        <f t="shared" si="1"/>
        <v>2.6412429378531077</v>
      </c>
      <c r="H35" s="2"/>
      <c r="I35" s="1"/>
      <c r="J35" s="2"/>
      <c r="K35" s="2"/>
      <c r="L35" s="2"/>
      <c r="M35" s="2"/>
      <c r="N35" s="160">
        <f t="shared" si="2"/>
        <v>2.6412429378531077</v>
      </c>
      <c r="O35" s="157">
        <v>2.0094257755692349</v>
      </c>
      <c r="P35" s="161">
        <f t="shared" si="3"/>
        <v>0.63181716228387286</v>
      </c>
      <c r="Q35" s="161">
        <f t="shared" si="4"/>
        <v>9.3638836576690032E-2</v>
      </c>
      <c r="R35" s="161">
        <f t="shared" si="5"/>
        <v>9.3638836576690032E-2</v>
      </c>
      <c r="S35" s="161">
        <f t="shared" si="6"/>
        <v>9.3638836576690032E-2</v>
      </c>
      <c r="T35" s="157">
        <v>3.062051761771126</v>
      </c>
      <c r="U35" s="161">
        <f t="shared" si="7"/>
        <v>-0.42080882391801833</v>
      </c>
      <c r="V35" s="157">
        <v>2.0703685351502013</v>
      </c>
      <c r="W35" s="161">
        <f t="shared" si="9"/>
        <v>0.57087440270290646</v>
      </c>
      <c r="X35" s="157">
        <v>1.8834485754502173</v>
      </c>
      <c r="Y35" s="161">
        <f t="shared" si="10"/>
        <v>0.75779436240289044</v>
      </c>
      <c r="Z35" s="157">
        <v>2.4677842796628027</v>
      </c>
      <c r="AA35" s="161">
        <f t="shared" si="11"/>
        <v>0.17345865819030504</v>
      </c>
      <c r="AB35" s="157">
        <v>2.8001760426366293</v>
      </c>
      <c r="AC35" s="161">
        <f t="shared" si="12"/>
        <v>-0.15893310478352163</v>
      </c>
    </row>
    <row r="36" spans="1:29" ht="27" customHeight="1" x14ac:dyDescent="0.25">
      <c r="A36" s="159">
        <f t="shared" si="8"/>
        <v>31</v>
      </c>
      <c r="B36" s="13" t="s">
        <v>299</v>
      </c>
      <c r="C36" s="1">
        <v>2.4350000000000001</v>
      </c>
      <c r="D36" s="1"/>
      <c r="E36" s="183">
        <f t="shared" si="0"/>
        <v>2.4350000000000001</v>
      </c>
      <c r="F36" s="7">
        <v>4.4200000000000003E-2</v>
      </c>
      <c r="G36" s="160">
        <f t="shared" si="1"/>
        <v>2.5476041012764177</v>
      </c>
      <c r="H36" s="2"/>
      <c r="I36" s="1"/>
      <c r="J36" s="2"/>
      <c r="K36" s="2"/>
      <c r="L36" s="2"/>
      <c r="M36" s="2"/>
      <c r="N36" s="160">
        <f t="shared" si="2"/>
        <v>2.5476041012764177</v>
      </c>
      <c r="O36" s="157">
        <v>1.9866488451335316</v>
      </c>
      <c r="P36" s="161">
        <f t="shared" si="3"/>
        <v>0.56095525614288611</v>
      </c>
      <c r="Q36" s="161">
        <f>N36-N38</f>
        <v>0.15060410127641743</v>
      </c>
      <c r="R36" s="161">
        <f>N36-N38</f>
        <v>0.15060410127641743</v>
      </c>
      <c r="S36" s="161">
        <f>N36-N38</f>
        <v>0.15060410127641743</v>
      </c>
      <c r="T36" s="157">
        <v>2.855</v>
      </c>
      <c r="U36" s="161">
        <f t="shared" si="7"/>
        <v>-0.30739589872358231</v>
      </c>
      <c r="V36" s="157">
        <v>2.1523691545370083</v>
      </c>
      <c r="W36" s="161">
        <f t="shared" si="9"/>
        <v>0.3952349467394094</v>
      </c>
      <c r="X36" s="157">
        <v>1.8027052135375699</v>
      </c>
      <c r="Y36" s="161">
        <f t="shared" si="10"/>
        <v>0.74489888773884783</v>
      </c>
      <c r="Z36" s="157">
        <v>2.4755419715489992</v>
      </c>
      <c r="AA36" s="161">
        <f t="shared" si="11"/>
        <v>7.2062129727418434E-2</v>
      </c>
      <c r="AB36" s="157">
        <v>2.4401286787651228</v>
      </c>
      <c r="AC36" s="161">
        <f t="shared" si="12"/>
        <v>0.10747542251129483</v>
      </c>
    </row>
    <row r="37" spans="1:29" ht="18" customHeight="1" x14ac:dyDescent="0.25">
      <c r="A37" s="159">
        <f t="shared" si="8"/>
        <v>32</v>
      </c>
      <c r="B37" s="4" t="s">
        <v>31</v>
      </c>
      <c r="C37" s="1">
        <v>2.113</v>
      </c>
      <c r="D37" s="1">
        <v>1.09E-2</v>
      </c>
      <c r="E37" s="183">
        <f t="shared" si="0"/>
        <v>2.1238999999999999</v>
      </c>
      <c r="F37" s="7">
        <v>4.4200000000000003E-2</v>
      </c>
      <c r="G37" s="160">
        <f t="shared" si="1"/>
        <v>2.2221175978238126</v>
      </c>
      <c r="H37" s="5">
        <v>0.15</v>
      </c>
      <c r="I37" s="1">
        <v>9.1908000000000017E-2</v>
      </c>
      <c r="J37" s="2"/>
      <c r="K37" s="2"/>
      <c r="L37" s="2"/>
      <c r="M37" s="2"/>
      <c r="N37" s="160">
        <f t="shared" si="2"/>
        <v>2.4640255978238126</v>
      </c>
      <c r="P37" s="161"/>
      <c r="Q37" s="161"/>
      <c r="R37" s="161"/>
      <c r="S37" s="161"/>
      <c r="U37" s="161"/>
      <c r="W37" s="161"/>
      <c r="Y37" s="161"/>
      <c r="Z37" s="157">
        <v>2.4502521928345633</v>
      </c>
      <c r="AA37" s="161">
        <f t="shared" si="11"/>
        <v>1.3773404989249283E-2</v>
      </c>
      <c r="AB37" s="157">
        <v>2.4140973896537337</v>
      </c>
      <c r="AC37" s="161">
        <f t="shared" si="12"/>
        <v>4.9928208170078925E-2</v>
      </c>
    </row>
    <row r="38" spans="1:29" ht="17.25" customHeight="1" x14ac:dyDescent="0.25">
      <c r="A38" s="159">
        <f t="shared" si="8"/>
        <v>33</v>
      </c>
      <c r="B38" s="4" t="s">
        <v>25</v>
      </c>
      <c r="C38" s="1">
        <v>2.399</v>
      </c>
      <c r="D38" s="1">
        <v>-2E-3</v>
      </c>
      <c r="E38" s="183">
        <f t="shared" ref="E38:E61" si="13">C38+D38</f>
        <v>2.3970000000000002</v>
      </c>
      <c r="F38" s="7"/>
      <c r="G38" s="160">
        <f t="shared" ref="G38:G61" si="14">E38/((100%-F38))</f>
        <v>2.3970000000000002</v>
      </c>
      <c r="H38" s="2"/>
      <c r="I38" s="1">
        <v>0</v>
      </c>
      <c r="J38" s="2"/>
      <c r="K38" s="2"/>
      <c r="L38" s="2"/>
      <c r="M38" s="2"/>
      <c r="N38" s="160">
        <f t="shared" ref="N38:N61" si="15">SUM(G38:M38)</f>
        <v>2.3970000000000002</v>
      </c>
      <c r="O38" s="157">
        <v>2.0425558562029851</v>
      </c>
      <c r="P38" s="161">
        <f t="shared" si="3"/>
        <v>0.35444414379701517</v>
      </c>
      <c r="Q38" s="161">
        <f>N38-N37</f>
        <v>-6.7025597823812344E-2</v>
      </c>
      <c r="R38" s="161">
        <f>N38-N37</f>
        <v>-6.7025597823812344E-2</v>
      </c>
      <c r="S38" s="161">
        <f>N38-N37</f>
        <v>-6.7025597823812344E-2</v>
      </c>
      <c r="T38" s="157">
        <v>2.71</v>
      </c>
      <c r="U38" s="161">
        <f t="shared" si="7"/>
        <v>-0.31299999999999972</v>
      </c>
      <c r="V38" s="157">
        <v>2.149272220501703</v>
      </c>
      <c r="W38" s="161">
        <f t="shared" si="9"/>
        <v>0.24772777949829727</v>
      </c>
      <c r="X38" s="157">
        <v>1.7800383616228523</v>
      </c>
      <c r="Y38" s="161">
        <f t="shared" si="10"/>
        <v>0.6169616383771479</v>
      </c>
      <c r="Z38" s="157">
        <v>2.4917847804004221</v>
      </c>
      <c r="AA38" s="161">
        <f t="shared" si="11"/>
        <v>-9.478478040042182E-2</v>
      </c>
      <c r="AB38" s="157">
        <v>2.4571018939507723</v>
      </c>
      <c r="AC38" s="161">
        <f t="shared" si="12"/>
        <v>-6.0101893950772034E-2</v>
      </c>
    </row>
    <row r="39" spans="1:29" ht="17.25" customHeight="1" x14ac:dyDescent="0.25">
      <c r="A39" s="159">
        <f t="shared" si="8"/>
        <v>34</v>
      </c>
      <c r="B39" s="4" t="s">
        <v>34</v>
      </c>
      <c r="C39" s="2">
        <v>2.024</v>
      </c>
      <c r="D39" s="1">
        <v>-8.9999999999999998E-4</v>
      </c>
      <c r="E39" s="183">
        <f t="shared" si="13"/>
        <v>2.0230999999999999</v>
      </c>
      <c r="F39" s="7">
        <v>4.4200000000000003E-2</v>
      </c>
      <c r="G39" s="160">
        <f t="shared" si="14"/>
        <v>2.1166562042268255</v>
      </c>
      <c r="H39" s="5">
        <v>0.15</v>
      </c>
      <c r="I39" s="1">
        <v>6.6888599999999993E-2</v>
      </c>
      <c r="J39" s="2"/>
      <c r="K39" s="2"/>
      <c r="L39" s="2">
        <v>3.6999999999999998E-2</v>
      </c>
      <c r="M39" s="2"/>
      <c r="N39" s="160">
        <f t="shared" si="15"/>
        <v>2.3705448042268253</v>
      </c>
      <c r="O39" s="157">
        <v>3.7038662678303229</v>
      </c>
      <c r="P39" s="161">
        <f t="shared" si="3"/>
        <v>-1.3333214636034976</v>
      </c>
      <c r="Q39" s="161">
        <f t="shared" si="4"/>
        <v>7.9099687800789908E-3</v>
      </c>
      <c r="R39" s="161">
        <f t="shared" si="5"/>
        <v>7.9099687800789908E-3</v>
      </c>
      <c r="S39" s="161">
        <f t="shared" si="6"/>
        <v>7.9099687800789908E-3</v>
      </c>
      <c r="T39" s="157">
        <v>2.5880000000000001</v>
      </c>
      <c r="U39" s="161">
        <f t="shared" si="7"/>
        <v>-0.21745519577317474</v>
      </c>
      <c r="V39" s="157">
        <v>1.623825745844947</v>
      </c>
      <c r="W39" s="161">
        <f t="shared" si="9"/>
        <v>0.74671905838187835</v>
      </c>
      <c r="X39" s="157">
        <v>1.8274932264541504</v>
      </c>
      <c r="Y39" s="161">
        <f t="shared" si="10"/>
        <v>0.54305157777267499</v>
      </c>
      <c r="Z39" s="157">
        <v>2.1127502634351951</v>
      </c>
      <c r="AA39" s="161">
        <f t="shared" si="11"/>
        <v>0.25779454079163022</v>
      </c>
      <c r="AB39" s="157">
        <v>2.0911556111806422</v>
      </c>
      <c r="AC39" s="161">
        <f t="shared" si="12"/>
        <v>0.27938919304618315</v>
      </c>
    </row>
    <row r="40" spans="1:29" ht="17.25" customHeight="1" x14ac:dyDescent="0.25">
      <c r="A40" s="159">
        <f t="shared" si="8"/>
        <v>35</v>
      </c>
      <c r="B40" s="4" t="s">
        <v>95</v>
      </c>
      <c r="C40" s="2">
        <v>2.048</v>
      </c>
      <c r="D40" s="1">
        <v>-1E-3</v>
      </c>
      <c r="E40" s="183">
        <f t="shared" si="13"/>
        <v>2.0470000000000002</v>
      </c>
      <c r="F40" s="7">
        <v>4.4200000000000003E-2</v>
      </c>
      <c r="G40" s="160">
        <f t="shared" si="14"/>
        <v>2.1416614354467463</v>
      </c>
      <c r="H40" s="5">
        <v>0.15</v>
      </c>
      <c r="I40" s="1">
        <v>7.0973400000000006E-2</v>
      </c>
      <c r="J40" s="2"/>
      <c r="K40" s="2"/>
      <c r="L40" s="2"/>
      <c r="M40" s="2"/>
      <c r="N40" s="160">
        <f t="shared" si="15"/>
        <v>2.3626348354467464</v>
      </c>
      <c r="O40" s="157">
        <v>3.5840425539970746</v>
      </c>
      <c r="P40" s="161">
        <f t="shared" si="3"/>
        <v>-1.2214077185503283</v>
      </c>
      <c r="Q40" s="161">
        <f t="shared" si="4"/>
        <v>2.0150403347980461E-2</v>
      </c>
      <c r="R40" s="161">
        <f t="shared" si="5"/>
        <v>2.0150403347980461E-2</v>
      </c>
      <c r="S40" s="161">
        <f t="shared" si="6"/>
        <v>2.0150403347980461E-2</v>
      </c>
      <c r="T40" s="157">
        <v>2.1061376156324707</v>
      </c>
      <c r="U40" s="161">
        <f t="shared" si="7"/>
        <v>0.25649721981427565</v>
      </c>
      <c r="V40" s="157">
        <v>1.6062764529782183</v>
      </c>
      <c r="W40" s="161">
        <f t="shared" si="9"/>
        <v>0.75635838246852805</v>
      </c>
      <c r="X40" s="157">
        <v>2.0751397226247152</v>
      </c>
      <c r="Y40" s="161">
        <f t="shared" si="10"/>
        <v>0.28749511282203111</v>
      </c>
      <c r="Z40" s="157">
        <v>2.1970495258166491</v>
      </c>
      <c r="AA40" s="161">
        <f t="shared" si="11"/>
        <v>0.16558530963009721</v>
      </c>
      <c r="AB40" s="157">
        <v>2.17459324155194</v>
      </c>
      <c r="AC40" s="161">
        <f t="shared" si="12"/>
        <v>0.18804159389480635</v>
      </c>
    </row>
    <row r="41" spans="1:29" ht="17.25" customHeight="1" x14ac:dyDescent="0.25">
      <c r="A41" s="159">
        <f t="shared" si="8"/>
        <v>36</v>
      </c>
      <c r="B41" s="4" t="s">
        <v>30</v>
      </c>
      <c r="C41" s="2">
        <v>2.0070000000000001</v>
      </c>
      <c r="D41" s="1">
        <v>-1E-3</v>
      </c>
      <c r="E41" s="183">
        <f t="shared" si="13"/>
        <v>2.0060000000000002</v>
      </c>
      <c r="F41" s="7">
        <v>4.4200000000000003E-2</v>
      </c>
      <c r="G41" s="160">
        <f t="shared" si="14"/>
        <v>2.0987654320987659</v>
      </c>
      <c r="H41" s="5">
        <v>0.15</v>
      </c>
      <c r="I41" s="1">
        <v>5.8719E-2</v>
      </c>
      <c r="J41" s="2"/>
      <c r="K41" s="2"/>
      <c r="L41" s="1">
        <v>3.5000000000000003E-2</v>
      </c>
      <c r="M41" s="2"/>
      <c r="N41" s="160">
        <f t="shared" si="15"/>
        <v>2.3424844320987659</v>
      </c>
      <c r="O41" s="157">
        <v>3.7238267627899022</v>
      </c>
      <c r="P41" s="161">
        <f t="shared" si="3"/>
        <v>-1.3813423306911363</v>
      </c>
      <c r="Q41" s="161">
        <f t="shared" si="4"/>
        <v>2.3063611634233538E-2</v>
      </c>
      <c r="R41" s="161">
        <f t="shared" si="5"/>
        <v>2.3063611634233538E-2</v>
      </c>
      <c r="S41" s="161">
        <f t="shared" si="6"/>
        <v>2.3063611634233538E-2</v>
      </c>
      <c r="T41" s="157">
        <v>2.0333697120881404</v>
      </c>
      <c r="U41" s="161">
        <f t="shared" si="7"/>
        <v>0.30911472001062545</v>
      </c>
      <c r="V41" s="157">
        <v>1.5856302260761845</v>
      </c>
      <c r="W41" s="161">
        <f t="shared" si="9"/>
        <v>0.75685420602258136</v>
      </c>
      <c r="X41" s="157">
        <v>2.1579383150486442</v>
      </c>
      <c r="Y41" s="161">
        <f t="shared" si="10"/>
        <v>0.18454611705012169</v>
      </c>
      <c r="Z41" s="157">
        <v>2.1601685985247627</v>
      </c>
      <c r="AA41" s="161">
        <f t="shared" si="11"/>
        <v>0.18231583357400316</v>
      </c>
      <c r="AB41" s="157">
        <v>2.1380892782644971</v>
      </c>
      <c r="AC41" s="161">
        <f t="shared" si="12"/>
        <v>0.20439515383426876</v>
      </c>
    </row>
    <row r="42" spans="1:29" ht="17.25" customHeight="1" x14ac:dyDescent="0.25">
      <c r="A42" s="159">
        <f t="shared" si="8"/>
        <v>37</v>
      </c>
      <c r="B42" s="4" t="s">
        <v>33</v>
      </c>
      <c r="C42" s="1">
        <v>1.984</v>
      </c>
      <c r="D42" s="1">
        <v>-1E-3</v>
      </c>
      <c r="E42" s="183">
        <f t="shared" si="13"/>
        <v>1.9830000000000001</v>
      </c>
      <c r="F42" s="7">
        <v>4.4200000000000003E-2</v>
      </c>
      <c r="G42" s="160">
        <f t="shared" si="14"/>
        <v>2.0747018204645324</v>
      </c>
      <c r="H42" s="5">
        <v>0.15</v>
      </c>
      <c r="I42" s="1">
        <v>5.8719E-2</v>
      </c>
      <c r="J42" s="2"/>
      <c r="K42" s="2"/>
      <c r="L42" s="1">
        <v>3.5999999999999997E-2</v>
      </c>
      <c r="M42" s="2"/>
      <c r="N42" s="160">
        <f t="shared" si="15"/>
        <v>2.3194208204645324</v>
      </c>
      <c r="O42" s="157">
        <v>0</v>
      </c>
      <c r="P42" s="161">
        <f t="shared" si="3"/>
        <v>2.3194208204645324</v>
      </c>
      <c r="Q42" s="161">
        <f>N42-N44</f>
        <v>0.1380021136220968</v>
      </c>
      <c r="R42" s="161">
        <f t="shared" si="5"/>
        <v>0.12440094182883454</v>
      </c>
      <c r="S42" s="161">
        <f t="shared" si="6"/>
        <v>0.12440094182883454</v>
      </c>
      <c r="T42" s="157">
        <v>2.0228822367737243</v>
      </c>
      <c r="U42" s="161">
        <f t="shared" si="7"/>
        <v>0.2965385836908081</v>
      </c>
      <c r="V42" s="157">
        <v>1.5206978424692887</v>
      </c>
      <c r="W42" s="161">
        <f t="shared" si="9"/>
        <v>0.79872297799524361</v>
      </c>
      <c r="X42" s="157">
        <v>2.1217139308631752</v>
      </c>
      <c r="Y42" s="161">
        <f t="shared" si="10"/>
        <v>0.19770688960135718</v>
      </c>
      <c r="Z42" s="157">
        <v>4.3546733403582722</v>
      </c>
      <c r="AA42" s="161">
        <f t="shared" si="11"/>
        <v>-2.0352525198937399</v>
      </c>
      <c r="AB42" s="157">
        <v>4.3734063412599085</v>
      </c>
      <c r="AC42" s="161">
        <f t="shared" si="12"/>
        <v>-2.0539855207953761</v>
      </c>
    </row>
    <row r="43" spans="1:29" ht="17.25" customHeight="1" x14ac:dyDescent="0.25">
      <c r="A43" s="159">
        <f t="shared" si="8"/>
        <v>38</v>
      </c>
      <c r="B43" s="4" t="s">
        <v>23</v>
      </c>
      <c r="C43" s="1">
        <v>2.0979999999999999</v>
      </c>
      <c r="D43" s="1"/>
      <c r="E43" s="183">
        <f t="shared" si="13"/>
        <v>2.0979999999999999</v>
      </c>
      <c r="F43" s="7">
        <v>4.4200000000000003E-2</v>
      </c>
      <c r="G43" s="160">
        <f t="shared" si="14"/>
        <v>2.1950198786356978</v>
      </c>
      <c r="H43" s="2"/>
      <c r="I43" s="1">
        <v>0</v>
      </c>
      <c r="J43" s="2"/>
      <c r="K43" s="2"/>
      <c r="L43" s="2"/>
      <c r="M43" s="2"/>
      <c r="N43" s="160">
        <f t="shared" si="15"/>
        <v>2.1950198786356978</v>
      </c>
      <c r="P43" s="161"/>
      <c r="Q43" s="161"/>
      <c r="R43" s="161">
        <f t="shared" si="5"/>
        <v>1.3601171793262257E-2</v>
      </c>
      <c r="S43" s="161">
        <f t="shared" si="6"/>
        <v>1.3601171793262257E-2</v>
      </c>
      <c r="T43" s="157">
        <v>1.9928333853029829</v>
      </c>
      <c r="U43" s="161">
        <f t="shared" si="7"/>
        <v>0.20218649333271488</v>
      </c>
      <c r="V43" s="157">
        <v>4.76981755961598</v>
      </c>
      <c r="W43" s="161">
        <f t="shared" si="9"/>
        <v>-2.5747976809802822</v>
      </c>
      <c r="X43" s="157">
        <v>4.3966052577106192</v>
      </c>
      <c r="Y43" s="161">
        <f t="shared" si="10"/>
        <v>-2.2015853790749214</v>
      </c>
      <c r="Z43" s="157">
        <v>2.7976817702845103</v>
      </c>
      <c r="AA43" s="161">
        <f t="shared" si="11"/>
        <v>-0.60266189164881245</v>
      </c>
      <c r="AB43" s="157">
        <v>3.2216312056737588</v>
      </c>
      <c r="AC43" s="161">
        <f t="shared" si="12"/>
        <v>-1.026611327038061</v>
      </c>
    </row>
    <row r="44" spans="1:29" ht="17.25" customHeight="1" x14ac:dyDescent="0.25">
      <c r="A44" s="159">
        <f t="shared" si="8"/>
        <v>39</v>
      </c>
      <c r="B44" s="4" t="s">
        <v>154</v>
      </c>
      <c r="C44" s="1">
        <v>2.085</v>
      </c>
      <c r="D44" s="15"/>
      <c r="E44" s="183">
        <f t="shared" si="13"/>
        <v>2.085</v>
      </c>
      <c r="F44" s="7">
        <v>4.4200000000000003E-2</v>
      </c>
      <c r="G44" s="160">
        <f t="shared" si="14"/>
        <v>2.1814187068424356</v>
      </c>
      <c r="H44" s="2"/>
      <c r="I44" s="1">
        <v>0</v>
      </c>
      <c r="J44" s="2"/>
      <c r="K44" s="2"/>
      <c r="L44" s="2"/>
      <c r="M44" s="2"/>
      <c r="N44" s="160">
        <f t="shared" si="15"/>
        <v>2.1814187068424356</v>
      </c>
      <c r="O44" s="157">
        <v>4.16411350973328</v>
      </c>
      <c r="P44" s="161">
        <f t="shared" si="3"/>
        <v>-1.9826948028908444</v>
      </c>
      <c r="Q44" s="161">
        <f>N44-N43</f>
        <v>-1.3601171793262257E-2</v>
      </c>
      <c r="R44" s="161">
        <f t="shared" si="5"/>
        <v>3.6618539443398213E-2</v>
      </c>
      <c r="S44" s="161">
        <f t="shared" si="6"/>
        <v>3.6618539443398213E-2</v>
      </c>
      <c r="T44" s="157">
        <v>2.0146710321172434</v>
      </c>
      <c r="U44" s="161">
        <f t="shared" si="7"/>
        <v>0.16674767472519214</v>
      </c>
      <c r="V44" s="157">
        <v>5.3731805512542588</v>
      </c>
      <c r="W44" s="161">
        <f t="shared" si="9"/>
        <v>-3.1917618444118232</v>
      </c>
      <c r="X44" s="157">
        <v>3.022148623473401</v>
      </c>
      <c r="Y44" s="161">
        <f t="shared" si="10"/>
        <v>-0.84072991663096541</v>
      </c>
      <c r="Z44" s="157">
        <v>4.7857049525816651</v>
      </c>
      <c r="AA44" s="161">
        <f t="shared" si="11"/>
        <v>-2.6042862457392295</v>
      </c>
      <c r="AB44" s="157">
        <v>3.9095607008760949</v>
      </c>
      <c r="AC44" s="161">
        <f t="shared" si="12"/>
        <v>-1.7281419940336593</v>
      </c>
    </row>
    <row r="45" spans="1:29" ht="17.25" customHeight="1" x14ac:dyDescent="0.25">
      <c r="A45" s="159">
        <f t="shared" si="8"/>
        <v>40</v>
      </c>
      <c r="B45" s="4" t="s">
        <v>157</v>
      </c>
      <c r="C45" s="1">
        <v>2.0499999999999998</v>
      </c>
      <c r="D45" s="15"/>
      <c r="E45" s="183">
        <f t="shared" si="13"/>
        <v>2.0499999999999998</v>
      </c>
      <c r="F45" s="7">
        <v>4.4200000000000003E-2</v>
      </c>
      <c r="G45" s="160">
        <f t="shared" si="14"/>
        <v>2.1448001673990373</v>
      </c>
      <c r="H45" s="2"/>
      <c r="I45" s="1">
        <v>0</v>
      </c>
      <c r="J45" s="2"/>
      <c r="K45" s="2"/>
      <c r="L45" s="2"/>
      <c r="M45" s="2"/>
      <c r="N45" s="160">
        <f t="shared" si="15"/>
        <v>2.1448001673990373</v>
      </c>
      <c r="O45" s="157">
        <v>1.3621613641912027</v>
      </c>
      <c r="P45" s="161">
        <f t="shared" si="3"/>
        <v>0.78263880320783463</v>
      </c>
      <c r="Q45" s="161">
        <f t="shared" si="4"/>
        <v>2.8248587570621098E-2</v>
      </c>
      <c r="R45" s="161">
        <f t="shared" si="5"/>
        <v>2.8248587570621098E-2</v>
      </c>
      <c r="S45" s="161">
        <f t="shared" si="6"/>
        <v>2.8248587570621098E-2</v>
      </c>
      <c r="T45" s="157">
        <v>2.090219311921838</v>
      </c>
      <c r="U45" s="161">
        <f t="shared" si="7"/>
        <v>5.4580855477199375E-2</v>
      </c>
      <c r="V45" s="157">
        <v>5.419634561783834</v>
      </c>
      <c r="W45" s="161">
        <f t="shared" si="9"/>
        <v>-3.2748343943847966</v>
      </c>
      <c r="X45" s="157">
        <v>4.2330780376733594</v>
      </c>
      <c r="Y45" s="161">
        <f t="shared" si="10"/>
        <v>-2.0882778702743221</v>
      </c>
      <c r="Z45" s="157">
        <v>1.896628029504742</v>
      </c>
      <c r="AA45" s="161">
        <f t="shared" si="11"/>
        <v>0.24817213789429537</v>
      </c>
      <c r="AB45" s="157">
        <v>1.7387359198998749</v>
      </c>
      <c r="AC45" s="161">
        <f t="shared" si="12"/>
        <v>0.40606424749916248</v>
      </c>
    </row>
    <row r="46" spans="1:29" ht="17.25" customHeight="1" x14ac:dyDescent="0.25">
      <c r="A46" s="159">
        <f t="shared" si="8"/>
        <v>41</v>
      </c>
      <c r="B46" s="13" t="s">
        <v>300</v>
      </c>
      <c r="C46" s="1">
        <v>2.0230000000000001</v>
      </c>
      <c r="D46" s="1"/>
      <c r="E46" s="183">
        <f t="shared" si="13"/>
        <v>2.0230000000000001</v>
      </c>
      <c r="F46" s="7">
        <v>4.4200000000000003E-2</v>
      </c>
      <c r="G46" s="160">
        <f t="shared" si="14"/>
        <v>2.1165515798284162</v>
      </c>
      <c r="H46" s="2"/>
      <c r="I46" s="1"/>
      <c r="J46" s="2"/>
      <c r="K46" s="2"/>
      <c r="L46" s="2"/>
      <c r="M46" s="2"/>
      <c r="N46" s="160">
        <f t="shared" si="15"/>
        <v>2.1165515798284162</v>
      </c>
      <c r="O46" s="157">
        <v>1.3455369692048875</v>
      </c>
      <c r="P46" s="161">
        <f t="shared" si="3"/>
        <v>0.77101461062352872</v>
      </c>
      <c r="Q46" s="161">
        <f>N46-N51</f>
        <v>0.44569993722536116</v>
      </c>
      <c r="R46" s="161">
        <f>N46-N51</f>
        <v>0.44569993722536116</v>
      </c>
      <c r="S46" s="161">
        <f>N46-N51</f>
        <v>0.44569993722536116</v>
      </c>
      <c r="T46" s="157">
        <v>2.1619374285417319</v>
      </c>
      <c r="U46" s="161">
        <f t="shared" si="7"/>
        <v>-4.5385848713315635E-2</v>
      </c>
      <c r="V46" s="157">
        <v>5.3731805512542588</v>
      </c>
      <c r="W46" s="161">
        <f t="shared" si="9"/>
        <v>-3.2566289714258425</v>
      </c>
      <c r="X46" s="157">
        <v>1.6580418132891743</v>
      </c>
      <c r="Y46" s="161">
        <f t="shared" si="10"/>
        <v>0.45850976653924191</v>
      </c>
      <c r="Z46" s="157">
        <v>1.8830347734457324</v>
      </c>
      <c r="AA46" s="161">
        <f t="shared" si="11"/>
        <v>0.23351680638268379</v>
      </c>
      <c r="AB46" s="157">
        <v>1.7261159783062161</v>
      </c>
      <c r="AC46" s="161">
        <f t="shared" si="12"/>
        <v>0.39043560152220014</v>
      </c>
    </row>
    <row r="47" spans="1:29" ht="17.25" customHeight="1" x14ac:dyDescent="0.25">
      <c r="A47" s="159">
        <f t="shared" si="8"/>
        <v>42</v>
      </c>
      <c r="B47" s="4" t="s">
        <v>160</v>
      </c>
      <c r="C47" s="1">
        <v>2.0049999999999999</v>
      </c>
      <c r="D47" s="15"/>
      <c r="E47" s="183">
        <f t="shared" si="13"/>
        <v>2.0049999999999999</v>
      </c>
      <c r="F47" s="7">
        <v>4.4200000000000003E-2</v>
      </c>
      <c r="G47" s="160">
        <f t="shared" si="14"/>
        <v>2.0977191881146684</v>
      </c>
      <c r="H47" s="2"/>
      <c r="I47" s="1">
        <v>0</v>
      </c>
      <c r="J47" s="2"/>
      <c r="K47" s="2"/>
      <c r="L47" s="2"/>
      <c r="M47" s="2"/>
      <c r="N47" s="160">
        <f t="shared" si="15"/>
        <v>2.0977191881146684</v>
      </c>
      <c r="P47" s="161"/>
      <c r="Q47" s="161"/>
      <c r="R47" s="161"/>
      <c r="S47" s="161"/>
      <c r="U47" s="161"/>
      <c r="W47" s="161"/>
      <c r="X47" s="157">
        <v>1.6539018836679777</v>
      </c>
      <c r="Y47" s="161">
        <f t="shared" si="10"/>
        <v>0.44381730444669065</v>
      </c>
      <c r="Z47" s="157">
        <v>1.8609062170706008</v>
      </c>
      <c r="AA47" s="161">
        <f t="shared" si="11"/>
        <v>0.23681297104406762</v>
      </c>
      <c r="AB47" s="157">
        <v>1.7031706299541094</v>
      </c>
      <c r="AC47" s="161">
        <f t="shared" si="12"/>
        <v>0.394548558160559</v>
      </c>
    </row>
    <row r="48" spans="1:29" ht="18.75" customHeight="1" x14ac:dyDescent="0.25">
      <c r="A48" s="159">
        <f t="shared" si="8"/>
        <v>43</v>
      </c>
      <c r="B48" s="4" t="s">
        <v>132</v>
      </c>
      <c r="C48" s="2">
        <v>1.974</v>
      </c>
      <c r="D48" s="1">
        <v>-1.29E-2</v>
      </c>
      <c r="E48" s="183">
        <f t="shared" si="13"/>
        <v>1.9611000000000001</v>
      </c>
      <c r="F48" s="7">
        <v>4.4200000000000003E-2</v>
      </c>
      <c r="G48" s="160">
        <f t="shared" si="14"/>
        <v>2.0517890772128062</v>
      </c>
      <c r="H48" s="2"/>
      <c r="I48" s="1">
        <v>0</v>
      </c>
      <c r="J48" s="2"/>
      <c r="K48" s="2"/>
      <c r="L48" s="2"/>
      <c r="M48" s="2"/>
      <c r="N48" s="160">
        <f t="shared" si="15"/>
        <v>2.0517890772128062</v>
      </c>
      <c r="P48" s="161"/>
      <c r="Q48" s="161"/>
      <c r="R48" s="161"/>
      <c r="S48" s="161"/>
      <c r="U48" s="161"/>
      <c r="W48" s="161"/>
      <c r="X48" s="157">
        <v>1.6332022355619955</v>
      </c>
      <c r="Y48" s="161">
        <f t="shared" si="10"/>
        <v>0.41858684165081073</v>
      </c>
      <c r="Z48" s="157">
        <v>1.9200210748155955</v>
      </c>
      <c r="AA48" s="161">
        <f t="shared" si="11"/>
        <v>0.13176800239721076</v>
      </c>
      <c r="AB48" s="157">
        <v>1.9369002920317064</v>
      </c>
      <c r="AC48" s="161">
        <f t="shared" si="12"/>
        <v>0.1148887851810998</v>
      </c>
    </row>
    <row r="49" spans="1:29" ht="17.25" customHeight="1" x14ac:dyDescent="0.25">
      <c r="A49" s="159">
        <f t="shared" si="8"/>
        <v>44</v>
      </c>
      <c r="B49" s="4" t="s">
        <v>306</v>
      </c>
      <c r="C49" s="1">
        <v>1.728</v>
      </c>
      <c r="D49" s="1">
        <v>4.0000000000000001E-3</v>
      </c>
      <c r="E49" s="183">
        <f t="shared" si="13"/>
        <v>1.732</v>
      </c>
      <c r="F49" s="7">
        <v>4.4200000000000003E-2</v>
      </c>
      <c r="G49" s="160">
        <f t="shared" si="14"/>
        <v>1.8120945804561623</v>
      </c>
      <c r="H49" s="2"/>
      <c r="I49" s="1">
        <v>5.3370000000000001E-2</v>
      </c>
      <c r="J49" s="2">
        <v>0.1</v>
      </c>
      <c r="K49" s="2"/>
      <c r="L49" s="2"/>
      <c r="M49" s="2"/>
      <c r="N49" s="160">
        <f t="shared" si="15"/>
        <v>1.9654645804561623</v>
      </c>
      <c r="P49" s="161"/>
      <c r="Q49" s="161"/>
      <c r="R49" s="161"/>
      <c r="S49" s="161"/>
      <c r="U49" s="161"/>
      <c r="W49" s="161"/>
      <c r="X49" s="157">
        <v>1.626992341130201</v>
      </c>
      <c r="Y49" s="161">
        <f t="shared" si="10"/>
        <v>0.33847223932596138</v>
      </c>
      <c r="Z49" s="157">
        <v>3.5526595468914648</v>
      </c>
      <c r="AA49" s="161">
        <f t="shared" si="11"/>
        <v>-1.5871949664353024</v>
      </c>
      <c r="AB49" s="157">
        <v>3.2325190780141848</v>
      </c>
      <c r="AC49" s="161">
        <f t="shared" si="12"/>
        <v>-1.2670544975580225</v>
      </c>
    </row>
    <row r="50" spans="1:29" ht="17.25" customHeight="1" x14ac:dyDescent="0.25">
      <c r="A50" s="159">
        <f t="shared" si="8"/>
        <v>45</v>
      </c>
      <c r="B50" s="4" t="s">
        <v>24</v>
      </c>
      <c r="C50" s="1">
        <v>1.829</v>
      </c>
      <c r="D50" s="15">
        <v>0</v>
      </c>
      <c r="E50" s="183">
        <f t="shared" si="13"/>
        <v>1.829</v>
      </c>
      <c r="F50" s="7"/>
      <c r="G50" s="160">
        <f t="shared" si="14"/>
        <v>1.829</v>
      </c>
      <c r="H50" s="2"/>
      <c r="I50" s="1">
        <v>0</v>
      </c>
      <c r="J50" s="2"/>
      <c r="K50" s="2"/>
      <c r="L50" s="2"/>
      <c r="M50" s="2"/>
      <c r="N50" s="160">
        <f t="shared" si="15"/>
        <v>1.829</v>
      </c>
      <c r="P50" s="161"/>
      <c r="Q50" s="161"/>
      <c r="R50" s="161"/>
      <c r="S50" s="161"/>
      <c r="U50" s="161"/>
      <c r="W50" s="161"/>
      <c r="X50" s="157">
        <v>3.5015196646657012</v>
      </c>
      <c r="Y50" s="161">
        <f t="shared" si="10"/>
        <v>-1.6725196646657012</v>
      </c>
      <c r="Z50" s="157">
        <v>3.8877565858798739</v>
      </c>
      <c r="AA50" s="161">
        <f t="shared" si="11"/>
        <v>-2.0587565858798742</v>
      </c>
      <c r="AB50" s="157">
        <v>3.8223925740508977</v>
      </c>
      <c r="AC50" s="161">
        <f t="shared" si="12"/>
        <v>-1.9933925740508978</v>
      </c>
    </row>
    <row r="51" spans="1:29" ht="15.75" customHeight="1" x14ac:dyDescent="0.25">
      <c r="A51" s="159">
        <f t="shared" si="8"/>
        <v>46</v>
      </c>
      <c r="B51" s="4" t="s">
        <v>19</v>
      </c>
      <c r="C51" s="1">
        <v>1.597</v>
      </c>
      <c r="D51" s="1"/>
      <c r="E51" s="183">
        <f t="shared" si="13"/>
        <v>1.597</v>
      </c>
      <c r="F51" s="7">
        <v>4.4200000000000003E-2</v>
      </c>
      <c r="G51" s="160">
        <f t="shared" si="14"/>
        <v>1.6708516426030551</v>
      </c>
      <c r="H51" s="2"/>
      <c r="I51" s="1">
        <v>0</v>
      </c>
      <c r="J51" s="2"/>
      <c r="K51" s="2"/>
      <c r="L51" s="2"/>
      <c r="M51" s="2"/>
      <c r="N51" s="160">
        <f t="shared" si="15"/>
        <v>1.6708516426030551</v>
      </c>
      <c r="O51" s="157">
        <v>1.3995662529104123</v>
      </c>
      <c r="P51" s="161">
        <f t="shared" si="3"/>
        <v>0.27128538969264282</v>
      </c>
      <c r="Q51" s="161" t="e">
        <f>N51-#REF!</f>
        <v>#REF!</v>
      </c>
      <c r="R51" s="161" t="e">
        <f>N51-#REF!</f>
        <v>#REF!</v>
      </c>
      <c r="S51" s="161" t="e">
        <f>N51-#REF!</f>
        <v>#REF!</v>
      </c>
      <c r="T51" s="157">
        <v>3.4985968194574371</v>
      </c>
      <c r="U51" s="161">
        <f t="shared" si="7"/>
        <v>-1.827745176854382</v>
      </c>
      <c r="V51" s="157">
        <v>5.0645194590688547</v>
      </c>
      <c r="W51" s="161">
        <f t="shared" si="9"/>
        <v>-3.3936678164657996</v>
      </c>
      <c r="X51" s="157">
        <v>4.6170565100393297</v>
      </c>
      <c r="Y51" s="161">
        <f t="shared" si="10"/>
        <v>-2.9462048674362746</v>
      </c>
      <c r="Z51" s="157">
        <v>4.0056037934668076</v>
      </c>
      <c r="AA51" s="161">
        <f t="shared" si="11"/>
        <v>-2.3347521508637525</v>
      </c>
      <c r="AB51" s="157">
        <v>3.8495932415519403</v>
      </c>
      <c r="AC51" s="161">
        <f t="shared" si="12"/>
        <v>-2.1787415989488852</v>
      </c>
    </row>
    <row r="52" spans="1:29" ht="17.25" customHeight="1" x14ac:dyDescent="0.25">
      <c r="A52" s="159">
        <f t="shared" si="8"/>
        <v>47</v>
      </c>
      <c r="B52" s="4" t="s">
        <v>129</v>
      </c>
      <c r="C52" s="1">
        <v>1.6339999999999999</v>
      </c>
      <c r="D52" s="1">
        <v>-3.9899999999999998E-2</v>
      </c>
      <c r="E52" s="183">
        <f t="shared" si="13"/>
        <v>1.5940999999999999</v>
      </c>
      <c r="F52" s="7">
        <v>4.4200000000000003E-2</v>
      </c>
      <c r="G52" s="160">
        <f t="shared" si="14"/>
        <v>1.6678175350491733</v>
      </c>
      <c r="H52" s="2"/>
      <c r="I52" s="1">
        <v>0</v>
      </c>
      <c r="J52" s="2"/>
      <c r="K52" s="2"/>
      <c r="L52" s="2"/>
      <c r="M52" s="2"/>
      <c r="N52" s="160">
        <f t="shared" si="15"/>
        <v>1.6678175350491733</v>
      </c>
      <c r="P52" s="161"/>
      <c r="Q52" s="161"/>
      <c r="R52" s="161"/>
      <c r="S52" s="161"/>
      <c r="U52" s="161"/>
      <c r="W52" s="161"/>
      <c r="Y52" s="161"/>
      <c r="Z52" s="157">
        <v>4.4881559536354061</v>
      </c>
      <c r="AA52" s="161">
        <f t="shared" si="11"/>
        <v>-2.8203384185862328</v>
      </c>
      <c r="AB52" s="157">
        <v>3.8140917813934085</v>
      </c>
      <c r="AC52" s="161">
        <f t="shared" si="12"/>
        <v>-2.1462742463442352</v>
      </c>
    </row>
    <row r="53" spans="1:29" ht="17.25" customHeight="1" x14ac:dyDescent="0.25">
      <c r="A53" s="159">
        <f t="shared" si="8"/>
        <v>48</v>
      </c>
      <c r="B53" s="4" t="s">
        <v>130</v>
      </c>
      <c r="C53" s="1">
        <v>1.621</v>
      </c>
      <c r="D53" s="1">
        <v>-3.9E-2</v>
      </c>
      <c r="E53" s="183">
        <f t="shared" si="13"/>
        <v>1.5820000000000001</v>
      </c>
      <c r="F53" s="7">
        <v>4.4200000000000003E-2</v>
      </c>
      <c r="G53" s="160">
        <f t="shared" si="14"/>
        <v>1.6551579828415988</v>
      </c>
      <c r="H53" s="2"/>
      <c r="I53" s="1">
        <v>0</v>
      </c>
      <c r="J53" s="2"/>
      <c r="K53" s="2"/>
      <c r="L53" s="2"/>
      <c r="M53" s="2"/>
      <c r="N53" s="160">
        <f t="shared" si="15"/>
        <v>1.6551579828415988</v>
      </c>
      <c r="P53" s="161"/>
      <c r="Q53" s="161"/>
      <c r="R53" s="161"/>
      <c r="S53" s="161"/>
      <c r="U53" s="161"/>
      <c r="W53" s="161"/>
      <c r="X53" s="157">
        <v>4.3624508383357483</v>
      </c>
      <c r="Y53" s="161">
        <f t="shared" si="10"/>
        <v>-2.7072928554941496</v>
      </c>
      <c r="Z53" s="157">
        <v>3.6339125395152791</v>
      </c>
      <c r="AA53" s="161">
        <f t="shared" si="11"/>
        <v>-1.9787545566736804</v>
      </c>
      <c r="AB53" s="157">
        <v>3.5899820609094704</v>
      </c>
      <c r="AC53" s="161">
        <f t="shared" si="12"/>
        <v>-1.9348240780678716</v>
      </c>
    </row>
    <row r="54" spans="1:29" ht="15.75" customHeight="1" x14ac:dyDescent="0.25">
      <c r="A54" s="159">
        <f t="shared" si="8"/>
        <v>49</v>
      </c>
      <c r="B54" s="4" t="s">
        <v>131</v>
      </c>
      <c r="C54" s="2">
        <v>1.603</v>
      </c>
      <c r="D54" s="1">
        <v>-4.2000000000000003E-2</v>
      </c>
      <c r="E54" s="183">
        <f t="shared" si="13"/>
        <v>1.5609999999999999</v>
      </c>
      <c r="F54" s="7">
        <v>4.4200000000000003E-2</v>
      </c>
      <c r="G54" s="160">
        <f t="shared" si="14"/>
        <v>1.6331868591755596</v>
      </c>
      <c r="H54" s="2"/>
      <c r="I54" s="1">
        <v>0</v>
      </c>
      <c r="J54" s="2"/>
      <c r="K54" s="2"/>
      <c r="L54" s="2"/>
      <c r="M54" s="2"/>
      <c r="N54" s="160">
        <f t="shared" si="15"/>
        <v>1.6331868591755596</v>
      </c>
      <c r="P54" s="161"/>
      <c r="Q54" s="161"/>
      <c r="R54" s="161"/>
      <c r="S54" s="161"/>
      <c r="U54" s="161"/>
      <c r="W54" s="161"/>
      <c r="Y54" s="161"/>
      <c r="Z54" s="157">
        <v>3.9104320337197049</v>
      </c>
      <c r="AA54" s="161">
        <f t="shared" si="11"/>
        <v>-2.2772451745441451</v>
      </c>
      <c r="AB54" s="157">
        <v>3.5294117647058822</v>
      </c>
      <c r="AC54" s="161">
        <f t="shared" si="12"/>
        <v>-1.8962249055303226</v>
      </c>
    </row>
    <row r="55" spans="1:29" ht="16.5" customHeight="1" x14ac:dyDescent="0.25">
      <c r="A55" s="159">
        <f t="shared" si="8"/>
        <v>50</v>
      </c>
      <c r="B55" s="4" t="s">
        <v>43</v>
      </c>
      <c r="C55" s="1">
        <v>1.14953273</v>
      </c>
      <c r="D55" s="1"/>
      <c r="E55" s="183">
        <f t="shared" si="13"/>
        <v>1.14953273</v>
      </c>
      <c r="F55" s="7">
        <v>4.4200000000000003E-2</v>
      </c>
      <c r="G55" s="160">
        <f t="shared" si="14"/>
        <v>1.202691703285206</v>
      </c>
      <c r="H55" s="2">
        <v>0.15</v>
      </c>
      <c r="I55" s="1">
        <v>3.8347439041159732E-2</v>
      </c>
      <c r="J55" s="2"/>
      <c r="K55" s="2"/>
      <c r="L55" s="1">
        <v>0.16500000000000001</v>
      </c>
      <c r="M55" s="2"/>
      <c r="N55" s="160">
        <f t="shared" si="15"/>
        <v>1.5560391423263658</v>
      </c>
      <c r="P55" s="161"/>
      <c r="Q55" s="161"/>
      <c r="R55" s="161"/>
      <c r="S55" s="161"/>
      <c r="U55" s="161"/>
      <c r="W55" s="161"/>
      <c r="Y55" s="161"/>
      <c r="Z55" s="157">
        <v>2.2160168598524765</v>
      </c>
      <c r="AA55" s="161">
        <f t="shared" si="11"/>
        <v>-0.65997771752611079</v>
      </c>
      <c r="AB55" s="157">
        <v>2.1099290780141846</v>
      </c>
      <c r="AC55" s="161">
        <f t="shared" si="12"/>
        <v>-0.55388993568781886</v>
      </c>
    </row>
    <row r="56" spans="1:29" ht="16.5" customHeight="1" x14ac:dyDescent="0.25">
      <c r="A56" s="159">
        <f t="shared" si="8"/>
        <v>51</v>
      </c>
      <c r="B56" s="4" t="s">
        <v>36</v>
      </c>
      <c r="C56" s="1">
        <v>1.3169999999999999</v>
      </c>
      <c r="D56" s="1">
        <v>1E-3</v>
      </c>
      <c r="E56" s="183">
        <f t="shared" si="13"/>
        <v>1.3179999999999998</v>
      </c>
      <c r="F56" s="7">
        <v>4.4200000000000003E-2</v>
      </c>
      <c r="G56" s="160">
        <f t="shared" si="14"/>
        <v>1.3789495710399664</v>
      </c>
      <c r="H56" s="2"/>
      <c r="I56" s="1">
        <v>0.13208364</v>
      </c>
      <c r="J56" s="2"/>
      <c r="K56" s="2"/>
      <c r="L56" s="2"/>
      <c r="M56" s="2"/>
      <c r="N56" s="160">
        <f t="shared" si="15"/>
        <v>1.5110332110399665</v>
      </c>
      <c r="P56" s="161"/>
      <c r="Q56" s="161"/>
      <c r="R56" s="161"/>
      <c r="S56" s="161"/>
      <c r="U56" s="161"/>
      <c r="W56" s="161"/>
      <c r="Y56" s="161"/>
      <c r="Z56" s="157">
        <v>2.85563751317176</v>
      </c>
      <c r="AA56" s="161">
        <f t="shared" si="11"/>
        <v>-1.3446043021317935</v>
      </c>
      <c r="AB56" s="157">
        <v>2.6329787234042556</v>
      </c>
      <c r="AC56" s="161">
        <f t="shared" si="12"/>
        <v>-1.1219455123642892</v>
      </c>
    </row>
    <row r="57" spans="1:29" ht="16.5" customHeight="1" x14ac:dyDescent="0.25">
      <c r="A57" s="159">
        <f t="shared" si="8"/>
        <v>52</v>
      </c>
      <c r="B57" s="44" t="s">
        <v>37</v>
      </c>
      <c r="C57" s="1">
        <v>1.292</v>
      </c>
      <c r="D57" s="1">
        <v>9.8999999999999999E-4</v>
      </c>
      <c r="E57" s="183">
        <f t="shared" si="13"/>
        <v>1.2929900000000001</v>
      </c>
      <c r="F57" s="7">
        <v>4.4200000000000003E-2</v>
      </c>
      <c r="G57" s="160">
        <f t="shared" si="14"/>
        <v>1.3527830089976984</v>
      </c>
      <c r="H57" s="2"/>
      <c r="I57" s="1">
        <v>0.11369475</v>
      </c>
      <c r="J57" s="2"/>
      <c r="K57" s="2"/>
      <c r="L57" s="2"/>
      <c r="M57" s="2"/>
      <c r="N57" s="160">
        <f t="shared" si="15"/>
        <v>1.4664777589976985</v>
      </c>
      <c r="P57" s="161"/>
      <c r="Q57" s="161"/>
      <c r="R57" s="161"/>
      <c r="S57" s="161"/>
      <c r="U57" s="161"/>
      <c r="W57" s="161"/>
      <c r="Y57" s="161"/>
      <c r="Z57" s="157">
        <v>2.9030558482613276</v>
      </c>
      <c r="AA57" s="161">
        <f t="shared" si="11"/>
        <v>-1.4365780892636291</v>
      </c>
      <c r="AB57" s="157">
        <v>2.6799123904881101</v>
      </c>
      <c r="AC57" s="161">
        <f t="shared" si="12"/>
        <v>-1.2134346314904116</v>
      </c>
    </row>
    <row r="58" spans="1:29" ht="16.5" customHeight="1" x14ac:dyDescent="0.25">
      <c r="A58" s="159">
        <f t="shared" si="8"/>
        <v>53</v>
      </c>
      <c r="B58" s="4" t="s">
        <v>172</v>
      </c>
      <c r="C58" s="2">
        <v>1.224</v>
      </c>
      <c r="D58" s="1">
        <v>2E-3</v>
      </c>
      <c r="E58" s="183">
        <f t="shared" si="13"/>
        <v>1.226</v>
      </c>
      <c r="F58" s="7">
        <v>4.4200000000000003E-2</v>
      </c>
      <c r="G58" s="160">
        <f t="shared" si="14"/>
        <v>1.282695124503034</v>
      </c>
      <c r="H58" s="2"/>
      <c r="I58" s="1">
        <v>0.11369475000000002</v>
      </c>
      <c r="J58" s="2"/>
      <c r="K58" s="2"/>
      <c r="L58" s="1">
        <v>3.9E-2</v>
      </c>
      <c r="M58" s="2"/>
      <c r="N58" s="160">
        <f t="shared" si="15"/>
        <v>1.435389874503034</v>
      </c>
      <c r="P58" s="161"/>
      <c r="Q58" s="161"/>
      <c r="R58" s="161"/>
      <c r="S58" s="161"/>
      <c r="U58" s="161"/>
      <c r="W58" s="161"/>
      <c r="Y58" s="161"/>
      <c r="Z58" s="157">
        <v>2.904109589041096</v>
      </c>
      <c r="AA58" s="161">
        <f t="shared" si="11"/>
        <v>-1.4687197145380619</v>
      </c>
      <c r="AB58" s="157">
        <v>2.8744263662911971</v>
      </c>
      <c r="AC58" s="161">
        <f t="shared" si="12"/>
        <v>-1.4390364917881631</v>
      </c>
    </row>
    <row r="59" spans="1:29" ht="16.5" customHeight="1" x14ac:dyDescent="0.25">
      <c r="A59" s="159">
        <f t="shared" si="8"/>
        <v>54</v>
      </c>
      <c r="B59" s="4" t="s">
        <v>28</v>
      </c>
      <c r="C59" s="1">
        <v>1.2490000000000001</v>
      </c>
      <c r="D59" s="1">
        <v>-7.9900000000000006E-3</v>
      </c>
      <c r="E59" s="183">
        <f t="shared" si="13"/>
        <v>1.2410100000000002</v>
      </c>
      <c r="F59" s="7">
        <v>4.4200000000000003E-2</v>
      </c>
      <c r="G59" s="160">
        <f t="shared" si="14"/>
        <v>1.2983992467043317</v>
      </c>
      <c r="H59" s="2"/>
      <c r="I59" s="1">
        <v>0.11823725</v>
      </c>
      <c r="J59" s="2"/>
      <c r="K59" s="2"/>
      <c r="L59" s="2"/>
      <c r="M59" s="2"/>
      <c r="N59" s="160">
        <f t="shared" si="15"/>
        <v>1.4166364967043317</v>
      </c>
      <c r="P59" s="161"/>
      <c r="Q59" s="161"/>
      <c r="R59" s="161"/>
      <c r="S59" s="161"/>
      <c r="U59" s="161"/>
      <c r="W59" s="161"/>
      <c r="Y59" s="161"/>
      <c r="Z59" s="157">
        <v>2.5763962065331927</v>
      </c>
      <c r="AA59" s="161">
        <f t="shared" si="11"/>
        <v>-1.159759709828861</v>
      </c>
      <c r="AB59" s="157">
        <v>2.5396328744263665</v>
      </c>
      <c r="AC59" s="161">
        <f t="shared" si="12"/>
        <v>-1.1229963777220349</v>
      </c>
    </row>
    <row r="60" spans="1:29" ht="16.5" customHeight="1" x14ac:dyDescent="0.25">
      <c r="A60" s="159">
        <f t="shared" si="8"/>
        <v>55</v>
      </c>
      <c r="B60" s="4" t="s">
        <v>29</v>
      </c>
      <c r="C60" s="2">
        <v>1.212</v>
      </c>
      <c r="D60" s="1">
        <v>-7.9900000000000006E-3</v>
      </c>
      <c r="E60" s="183">
        <f t="shared" si="13"/>
        <v>1.20401</v>
      </c>
      <c r="F60" s="7">
        <v>4.4200000000000003E-2</v>
      </c>
      <c r="G60" s="160">
        <f t="shared" si="14"/>
        <v>1.2596882192927392</v>
      </c>
      <c r="H60" s="2"/>
      <c r="I60" s="1">
        <v>0.11823725</v>
      </c>
      <c r="J60" s="2"/>
      <c r="K60" s="2"/>
      <c r="L60" s="1">
        <v>3.4000000000000002E-2</v>
      </c>
      <c r="M60" s="2"/>
      <c r="N60" s="160">
        <f t="shared" si="15"/>
        <v>1.4119254692927392</v>
      </c>
      <c r="P60" s="161"/>
      <c r="Q60" s="161"/>
      <c r="R60" s="161"/>
      <c r="S60" s="161"/>
      <c r="U60" s="161"/>
      <c r="W60" s="161"/>
      <c r="Y60" s="161"/>
      <c r="Z60" s="157">
        <v>2.8134878819810329</v>
      </c>
      <c r="AA60" s="161">
        <f t="shared" si="11"/>
        <v>-1.4015624126882937</v>
      </c>
      <c r="AB60" s="157">
        <v>2.9447309136420525</v>
      </c>
      <c r="AC60" s="161">
        <f t="shared" si="12"/>
        <v>-1.5328054443493133</v>
      </c>
    </row>
    <row r="61" spans="1:29" ht="16.5" customHeight="1" x14ac:dyDescent="0.25">
      <c r="A61" s="159">
        <f t="shared" si="8"/>
        <v>56</v>
      </c>
      <c r="B61" s="4" t="s">
        <v>56</v>
      </c>
      <c r="C61" s="1">
        <v>0.70499999999999996</v>
      </c>
      <c r="D61" s="1"/>
      <c r="E61" s="183">
        <f t="shared" si="13"/>
        <v>0.70499999999999996</v>
      </c>
      <c r="F61" s="7">
        <v>4.4200000000000003E-2</v>
      </c>
      <c r="G61" s="160">
        <f t="shared" si="14"/>
        <v>0.73760200878844939</v>
      </c>
      <c r="H61" s="5">
        <v>0.15</v>
      </c>
      <c r="I61" s="1">
        <v>4.0004999999999999E-2</v>
      </c>
      <c r="J61" s="2"/>
      <c r="K61" s="2"/>
      <c r="L61" s="2"/>
      <c r="M61" s="2"/>
      <c r="N61" s="160">
        <f t="shared" si="15"/>
        <v>0.92760700878844937</v>
      </c>
      <c r="P61" s="161"/>
      <c r="Q61" s="161"/>
      <c r="R61" s="161"/>
      <c r="S61" s="161"/>
      <c r="U61" s="161"/>
      <c r="W61" s="161"/>
      <c r="Y61" s="161"/>
      <c r="AA61" s="161"/>
      <c r="AB61" s="157">
        <v>3.2342511472674178</v>
      </c>
      <c r="AC61" s="161">
        <f t="shared" si="12"/>
        <v>-2.3066441384789682</v>
      </c>
    </row>
    <row r="62" spans="1:29" ht="17.25" customHeight="1" x14ac:dyDescent="0.25">
      <c r="A62" s="87"/>
      <c r="B62" s="123"/>
      <c r="C62" s="69"/>
      <c r="D62" s="69"/>
      <c r="E62" s="162"/>
      <c r="F62" s="70"/>
      <c r="G62" s="162"/>
      <c r="H62" s="192"/>
      <c r="I62" s="69"/>
      <c r="J62" s="12"/>
      <c r="K62" s="12"/>
      <c r="L62" s="12"/>
      <c r="M62" s="12"/>
      <c r="N62" s="162"/>
      <c r="P62" s="161"/>
      <c r="Q62" s="161"/>
      <c r="R62" s="161"/>
      <c r="S62" s="161"/>
      <c r="U62" s="161"/>
      <c r="W62" s="161"/>
      <c r="Y62" s="161"/>
    </row>
    <row r="63" spans="1:29" ht="17.25" customHeight="1" x14ac:dyDescent="0.25">
      <c r="A63" s="256" t="s">
        <v>324</v>
      </c>
      <c r="B63" s="256"/>
      <c r="C63" s="256"/>
      <c r="D63" s="256"/>
      <c r="E63" s="256"/>
      <c r="F63" s="256"/>
      <c r="G63" s="256"/>
      <c r="H63" s="256"/>
      <c r="I63" s="256"/>
      <c r="J63" s="256"/>
      <c r="K63" s="174"/>
      <c r="L63" s="164"/>
      <c r="M63" s="164"/>
      <c r="N63" s="164"/>
    </row>
    <row r="64" spans="1:29" ht="15" customHeight="1" x14ac:dyDescent="0.25">
      <c r="A64" s="248" t="s">
        <v>0</v>
      </c>
      <c r="B64" s="249" t="s">
        <v>1</v>
      </c>
      <c r="C64" s="248" t="s">
        <v>99</v>
      </c>
      <c r="D64" s="249" t="s">
        <v>108</v>
      </c>
      <c r="E64" s="249" t="s">
        <v>109</v>
      </c>
      <c r="F64" s="252" t="s">
        <v>193</v>
      </c>
      <c r="G64" s="249" t="s">
        <v>191</v>
      </c>
      <c r="H64" s="248" t="s">
        <v>239</v>
      </c>
      <c r="I64" s="249" t="s">
        <v>234</v>
      </c>
      <c r="J64" s="248" t="s">
        <v>69</v>
      </c>
      <c r="K64" s="230"/>
      <c r="L64" s="165"/>
      <c r="M64" s="165"/>
      <c r="N64" s="166"/>
    </row>
    <row r="65" spans="1:29" ht="29.25" customHeight="1" x14ac:dyDescent="0.25">
      <c r="A65" s="248"/>
      <c r="B65" s="250"/>
      <c r="C65" s="248"/>
      <c r="D65" s="250"/>
      <c r="E65" s="250"/>
      <c r="F65" s="253"/>
      <c r="G65" s="251"/>
      <c r="H65" s="248"/>
      <c r="I65" s="250"/>
      <c r="J65" s="248"/>
      <c r="K65" s="230"/>
      <c r="L65" s="165"/>
      <c r="M65" s="165"/>
      <c r="N65" s="166"/>
    </row>
    <row r="66" spans="1:29" ht="29.25" customHeight="1" x14ac:dyDescent="0.25">
      <c r="A66" s="248"/>
      <c r="B66" s="251"/>
      <c r="C66" s="248"/>
      <c r="D66" s="251"/>
      <c r="E66" s="251"/>
      <c r="F66" s="254"/>
      <c r="G66" s="232" t="s">
        <v>4</v>
      </c>
      <c r="H66" s="248"/>
      <c r="I66" s="251"/>
      <c r="J66" s="248"/>
      <c r="K66" s="230"/>
      <c r="L66" s="165"/>
      <c r="M66" s="165"/>
      <c r="N66" s="166"/>
    </row>
    <row r="67" spans="1:29" ht="31.5" customHeight="1" x14ac:dyDescent="0.25">
      <c r="A67" s="229" t="s">
        <v>5</v>
      </c>
      <c r="B67" s="229" t="s">
        <v>6</v>
      </c>
      <c r="C67" s="229" t="s">
        <v>7</v>
      </c>
      <c r="D67" s="229" t="s">
        <v>8</v>
      </c>
      <c r="E67" s="229" t="s">
        <v>9</v>
      </c>
      <c r="F67" s="229" t="s">
        <v>10</v>
      </c>
      <c r="G67" s="229" t="s">
        <v>192</v>
      </c>
      <c r="H67" s="229" t="s">
        <v>189</v>
      </c>
      <c r="I67" s="229" t="s">
        <v>11</v>
      </c>
      <c r="J67" s="229" t="s">
        <v>240</v>
      </c>
      <c r="K67" s="230"/>
      <c r="L67" s="165"/>
      <c r="M67" s="165"/>
      <c r="N67" s="166"/>
    </row>
    <row r="68" spans="1:29" ht="15" x14ac:dyDescent="0.25">
      <c r="A68" s="167">
        <v>1</v>
      </c>
      <c r="B68" s="4" t="s">
        <v>147</v>
      </c>
      <c r="C68" s="1">
        <v>2.95</v>
      </c>
      <c r="D68" s="2"/>
      <c r="E68" s="160">
        <f t="shared" ref="E68:E94" si="16">C68+D68</f>
        <v>2.95</v>
      </c>
      <c r="F68" s="7">
        <v>4.4200000000000003E-2</v>
      </c>
      <c r="G68" s="160">
        <f t="shared" ref="G68:G94" si="17">E68/((100%-F68))</f>
        <v>3.0864197530864201</v>
      </c>
      <c r="H68" s="2"/>
      <c r="I68" s="1">
        <v>0</v>
      </c>
      <c r="J68" s="160">
        <f t="shared" ref="J68:J94" si="18">SUM(G68:I68)</f>
        <v>3.0864197530864201</v>
      </c>
      <c r="K68" s="162"/>
      <c r="L68" s="165"/>
      <c r="M68" s="165"/>
      <c r="N68" s="166"/>
      <c r="O68" s="157">
        <v>0.61199999999999999</v>
      </c>
      <c r="P68" s="161">
        <f t="shared" ref="P68:P94" si="19">J68-O68</f>
        <v>2.47441975308642</v>
      </c>
      <c r="Q68" s="161">
        <f t="shared" ref="Q68:Q94" si="20">J68-J69</f>
        <v>0.5879891190625659</v>
      </c>
      <c r="R68" s="161">
        <f t="shared" ref="R68:R94" si="21">J68-J69</f>
        <v>0.5879891190625659</v>
      </c>
      <c r="S68" s="161">
        <f t="shared" ref="S68:S94" si="22">J68-J69</f>
        <v>0.5879891190625659</v>
      </c>
      <c r="X68" s="157">
        <v>0.68</v>
      </c>
      <c r="Y68" s="161">
        <f>J68-X68</f>
        <v>2.40641975308642</v>
      </c>
      <c r="Z68" s="157">
        <v>0.60199999999999998</v>
      </c>
      <c r="AA68" s="161">
        <f>J68-Z68</f>
        <v>2.4844197530864203</v>
      </c>
      <c r="AB68" s="157">
        <v>0.60199999999999998</v>
      </c>
      <c r="AC68" s="161">
        <f>J68-AB68</f>
        <v>2.4844197530864203</v>
      </c>
    </row>
    <row r="69" spans="1:29" ht="15.75" customHeight="1" x14ac:dyDescent="0.25">
      <c r="A69" s="159">
        <f t="shared" ref="A69:A94" si="23">+A68+1</f>
        <v>2</v>
      </c>
      <c r="B69" s="4" t="s">
        <v>164</v>
      </c>
      <c r="C69" s="1">
        <v>2.3879999999999999</v>
      </c>
      <c r="D69" s="1"/>
      <c r="E69" s="160">
        <f t="shared" si="16"/>
        <v>2.3879999999999999</v>
      </c>
      <c r="F69" s="7">
        <v>4.4200000000000003E-2</v>
      </c>
      <c r="G69" s="160">
        <f t="shared" si="17"/>
        <v>2.4984306340238542</v>
      </c>
      <c r="H69" s="2"/>
      <c r="I69" s="1">
        <v>0</v>
      </c>
      <c r="J69" s="160">
        <f t="shared" si="18"/>
        <v>2.4984306340238542</v>
      </c>
      <c r="K69" s="162"/>
      <c r="L69" s="165"/>
      <c r="M69" s="165"/>
      <c r="N69" s="166"/>
      <c r="O69" s="157">
        <v>0.58499999999999996</v>
      </c>
      <c r="P69" s="161">
        <f t="shared" si="19"/>
        <v>1.9134306340238543</v>
      </c>
      <c r="Q69" s="161">
        <f t="shared" si="20"/>
        <v>6.2774639045825698E-2</v>
      </c>
      <c r="R69" s="161">
        <f t="shared" si="21"/>
        <v>6.2774639045825698E-2</v>
      </c>
      <c r="S69" s="161">
        <f t="shared" si="22"/>
        <v>6.2774639045825698E-2</v>
      </c>
      <c r="X69" s="157">
        <v>0.51600000000000001</v>
      </c>
      <c r="Y69" s="161">
        <f t="shared" ref="Y69:Y94" si="24">J69-X69</f>
        <v>1.9824306340238542</v>
      </c>
      <c r="Z69" s="157">
        <v>0.45700000000000002</v>
      </c>
      <c r="AA69" s="161">
        <f t="shared" ref="AA69:AA94" si="25">J69-Z69</f>
        <v>2.0414306340238544</v>
      </c>
      <c r="AB69" s="157">
        <v>0.45700000000000002</v>
      </c>
      <c r="AC69" s="161">
        <f t="shared" ref="AC69:AC94" si="26">J69-AB69</f>
        <v>2.0414306340238544</v>
      </c>
    </row>
    <row r="70" spans="1:29" ht="15" x14ac:dyDescent="0.25">
      <c r="A70" s="159">
        <f t="shared" si="23"/>
        <v>3</v>
      </c>
      <c r="B70" s="4" t="s">
        <v>140</v>
      </c>
      <c r="C70" s="1">
        <v>2.3279999999999998</v>
      </c>
      <c r="D70" s="1"/>
      <c r="E70" s="160">
        <f t="shared" si="16"/>
        <v>2.3279999999999998</v>
      </c>
      <c r="F70" s="7">
        <v>4.4200000000000003E-2</v>
      </c>
      <c r="G70" s="160">
        <f t="shared" si="17"/>
        <v>2.4356559949780285</v>
      </c>
      <c r="H70" s="2"/>
      <c r="I70" s="1">
        <v>0</v>
      </c>
      <c r="J70" s="160">
        <f t="shared" si="18"/>
        <v>2.4356559949780285</v>
      </c>
      <c r="K70" s="162"/>
      <c r="L70" s="165"/>
      <c r="M70" s="165"/>
      <c r="N70" s="166"/>
      <c r="O70" s="157">
        <v>1.4510000000000001</v>
      </c>
      <c r="P70" s="161">
        <f t="shared" si="19"/>
        <v>0.98465599497802847</v>
      </c>
      <c r="Q70" s="161">
        <f t="shared" si="20"/>
        <v>0.10776313036200014</v>
      </c>
      <c r="R70" s="161">
        <f t="shared" si="21"/>
        <v>0.10776313036200014</v>
      </c>
      <c r="S70" s="161">
        <f t="shared" si="22"/>
        <v>0.10776313036200014</v>
      </c>
      <c r="X70" s="157">
        <v>0.81499999999999995</v>
      </c>
      <c r="Y70" s="161">
        <f t="shared" si="24"/>
        <v>1.6206559949780286</v>
      </c>
      <c r="Z70" s="157">
        <v>0.72199999999999998</v>
      </c>
      <c r="AA70" s="161">
        <f t="shared" si="25"/>
        <v>1.7136559949780286</v>
      </c>
      <c r="AB70" s="157">
        <v>0.72199999999999998</v>
      </c>
      <c r="AC70" s="161">
        <f t="shared" si="26"/>
        <v>1.7136559949780286</v>
      </c>
    </row>
    <row r="71" spans="1:29" ht="15" x14ac:dyDescent="0.25">
      <c r="A71" s="159">
        <f t="shared" si="23"/>
        <v>4</v>
      </c>
      <c r="B71" s="4" t="s">
        <v>148</v>
      </c>
      <c r="C71" s="1">
        <v>2.2250000000000001</v>
      </c>
      <c r="D71" s="2"/>
      <c r="E71" s="160">
        <f t="shared" si="16"/>
        <v>2.2250000000000001</v>
      </c>
      <c r="F71" s="7">
        <v>4.4200000000000003E-2</v>
      </c>
      <c r="G71" s="160">
        <f t="shared" si="17"/>
        <v>2.3278928646160284</v>
      </c>
      <c r="H71" s="2"/>
      <c r="I71" s="1">
        <v>0</v>
      </c>
      <c r="J71" s="160">
        <f t="shared" si="18"/>
        <v>2.3278928646160284</v>
      </c>
      <c r="K71" s="162"/>
      <c r="L71" s="165"/>
      <c r="M71" s="165"/>
      <c r="N71" s="166"/>
      <c r="O71" s="157">
        <v>0.184</v>
      </c>
      <c r="P71" s="161">
        <f t="shared" si="19"/>
        <v>2.1438928646160282</v>
      </c>
      <c r="Q71" s="161">
        <f t="shared" si="20"/>
        <v>1.8832391713747842E-2</v>
      </c>
      <c r="R71" s="161">
        <f t="shared" si="21"/>
        <v>1.8832391713747842E-2</v>
      </c>
      <c r="S71" s="161">
        <f t="shared" si="22"/>
        <v>1.8832391713747842E-2</v>
      </c>
      <c r="X71" s="157">
        <v>0.183</v>
      </c>
      <c r="Y71" s="161">
        <f t="shared" si="24"/>
        <v>2.1448928646160286</v>
      </c>
      <c r="Z71" s="157">
        <v>0.19</v>
      </c>
      <c r="AA71" s="161">
        <f t="shared" si="25"/>
        <v>2.1378928646160285</v>
      </c>
      <c r="AB71" s="157">
        <v>0.19</v>
      </c>
      <c r="AC71" s="161">
        <f t="shared" si="26"/>
        <v>2.1378928646160285</v>
      </c>
    </row>
    <row r="72" spans="1:29" ht="15.75" customHeight="1" x14ac:dyDescent="0.25">
      <c r="A72" s="159">
        <f t="shared" si="23"/>
        <v>5</v>
      </c>
      <c r="B72" s="4" t="s">
        <v>145</v>
      </c>
      <c r="C72" s="1">
        <v>2.2069999999999999</v>
      </c>
      <c r="D72" s="1"/>
      <c r="E72" s="160">
        <f t="shared" si="16"/>
        <v>2.2069999999999999</v>
      </c>
      <c r="F72" s="7">
        <v>4.4200000000000003E-2</v>
      </c>
      <c r="G72" s="160">
        <f t="shared" si="17"/>
        <v>2.3090604729022806</v>
      </c>
      <c r="H72" s="2"/>
      <c r="I72" s="1">
        <v>0</v>
      </c>
      <c r="J72" s="160">
        <f t="shared" si="18"/>
        <v>2.3090604729022806</v>
      </c>
      <c r="K72" s="162"/>
      <c r="L72" s="165"/>
      <c r="M72" s="165"/>
      <c r="N72" s="166"/>
      <c r="O72" s="157">
        <v>0.70499999999999996</v>
      </c>
      <c r="P72" s="161">
        <f t="shared" si="19"/>
        <v>1.6040604729022805</v>
      </c>
      <c r="Q72" s="161">
        <f t="shared" si="20"/>
        <v>1.0462439840970283E-3</v>
      </c>
      <c r="R72" s="161">
        <f t="shared" si="21"/>
        <v>1.0462439840970283E-3</v>
      </c>
      <c r="S72" s="161">
        <f t="shared" si="22"/>
        <v>1.0462439840970283E-3</v>
      </c>
      <c r="X72" s="157">
        <v>0.60599999999999998</v>
      </c>
      <c r="Y72" s="161">
        <f t="shared" si="24"/>
        <v>1.7030604729022807</v>
      </c>
      <c r="Z72" s="157">
        <v>0.58899999999999997</v>
      </c>
      <c r="AA72" s="161">
        <f t="shared" si="25"/>
        <v>1.7200604729022806</v>
      </c>
      <c r="AB72" s="157">
        <v>0.58899999999999997</v>
      </c>
      <c r="AC72" s="161">
        <f t="shared" si="26"/>
        <v>1.7200604729022806</v>
      </c>
    </row>
    <row r="73" spans="1:29" ht="15.75" customHeight="1" x14ac:dyDescent="0.25">
      <c r="A73" s="159">
        <f t="shared" si="23"/>
        <v>6</v>
      </c>
      <c r="B73" s="4" t="s">
        <v>144</v>
      </c>
      <c r="C73" s="1">
        <v>2.206</v>
      </c>
      <c r="D73" s="1"/>
      <c r="E73" s="160">
        <f t="shared" si="16"/>
        <v>2.206</v>
      </c>
      <c r="F73" s="7">
        <v>4.4200000000000003E-2</v>
      </c>
      <c r="G73" s="160">
        <f t="shared" si="17"/>
        <v>2.3080142289181835</v>
      </c>
      <c r="H73" s="2"/>
      <c r="I73" s="1">
        <v>0</v>
      </c>
      <c r="J73" s="160">
        <f t="shared" si="18"/>
        <v>2.3080142289181835</v>
      </c>
      <c r="K73" s="162"/>
      <c r="L73" s="165"/>
      <c r="M73" s="165"/>
      <c r="N73" s="166"/>
      <c r="O73" s="157">
        <v>0.17899999999999999</v>
      </c>
      <c r="P73" s="161">
        <f t="shared" si="19"/>
        <v>2.1290142289181837</v>
      </c>
      <c r="Q73" s="161">
        <f t="shared" si="20"/>
        <v>9.5208202552834909E-2</v>
      </c>
      <c r="R73" s="161">
        <f t="shared" si="21"/>
        <v>9.5208202552834909E-2</v>
      </c>
      <c r="S73" s="161">
        <f t="shared" si="22"/>
        <v>9.5208202552834909E-2</v>
      </c>
      <c r="X73" s="157">
        <v>0.20899999999999999</v>
      </c>
      <c r="Y73" s="161">
        <f t="shared" si="24"/>
        <v>2.0990142289181835</v>
      </c>
      <c r="Z73" s="157">
        <v>0.23799999999999999</v>
      </c>
      <c r="AA73" s="161">
        <f t="shared" si="25"/>
        <v>2.0700142289181835</v>
      </c>
      <c r="AB73" s="157">
        <v>0.23799999999999999</v>
      </c>
      <c r="AC73" s="161">
        <f t="shared" si="26"/>
        <v>2.0700142289181835</v>
      </c>
    </row>
    <row r="74" spans="1:29" ht="15.75" customHeight="1" x14ac:dyDescent="0.25">
      <c r="A74" s="159">
        <f t="shared" si="23"/>
        <v>7</v>
      </c>
      <c r="B74" s="4" t="s">
        <v>139</v>
      </c>
      <c r="C74" s="1">
        <v>2.1150000000000002</v>
      </c>
      <c r="D74" s="1"/>
      <c r="E74" s="160">
        <f t="shared" si="16"/>
        <v>2.1150000000000002</v>
      </c>
      <c r="F74" s="7">
        <v>4.4200000000000003E-2</v>
      </c>
      <c r="G74" s="160">
        <f t="shared" si="17"/>
        <v>2.2128060263653486</v>
      </c>
      <c r="H74" s="2"/>
      <c r="I74" s="1">
        <v>0</v>
      </c>
      <c r="J74" s="160">
        <f t="shared" si="18"/>
        <v>2.2128060263653486</v>
      </c>
      <c r="K74" s="162"/>
      <c r="L74" s="165"/>
      <c r="M74" s="165"/>
      <c r="N74" s="166"/>
      <c r="O74" s="157">
        <v>2.3498333333333328</v>
      </c>
      <c r="P74" s="161">
        <f t="shared" si="19"/>
        <v>-0.13702730696798415</v>
      </c>
      <c r="Q74" s="161">
        <f t="shared" si="20"/>
        <v>2.8248587570621542E-2</v>
      </c>
      <c r="R74" s="161">
        <f t="shared" si="21"/>
        <v>2.8248587570621542E-2</v>
      </c>
      <c r="S74" s="161">
        <f t="shared" si="22"/>
        <v>2.8248587570621542E-2</v>
      </c>
      <c r="X74" s="157">
        <v>2.2542644444444444</v>
      </c>
      <c r="Y74" s="161">
        <f t="shared" si="24"/>
        <v>-4.1458418079095782E-2</v>
      </c>
      <c r="Z74" s="157">
        <v>2.1584311111111112</v>
      </c>
      <c r="AA74" s="161">
        <f t="shared" si="25"/>
        <v>5.4374915254237433E-2</v>
      </c>
      <c r="AB74" s="157">
        <v>2.1584311111111112</v>
      </c>
      <c r="AC74" s="161">
        <f t="shared" si="26"/>
        <v>5.4374915254237433E-2</v>
      </c>
    </row>
    <row r="75" spans="1:29" ht="15" x14ac:dyDescent="0.25">
      <c r="A75" s="159">
        <f t="shared" si="23"/>
        <v>8</v>
      </c>
      <c r="B75" s="4" t="s">
        <v>149</v>
      </c>
      <c r="C75" s="1">
        <v>2.0880000000000001</v>
      </c>
      <c r="D75" s="2"/>
      <c r="E75" s="160">
        <f t="shared" si="16"/>
        <v>2.0880000000000001</v>
      </c>
      <c r="F75" s="7">
        <v>4.4200000000000003E-2</v>
      </c>
      <c r="G75" s="160">
        <f t="shared" si="17"/>
        <v>2.1845574387947271</v>
      </c>
      <c r="H75" s="2"/>
      <c r="I75" s="1">
        <v>0</v>
      </c>
      <c r="J75" s="160">
        <f t="shared" si="18"/>
        <v>2.1845574387947271</v>
      </c>
      <c r="K75" s="162"/>
      <c r="L75" s="165"/>
      <c r="M75" s="165"/>
      <c r="N75" s="166"/>
      <c r="O75" s="157">
        <v>1.51</v>
      </c>
      <c r="P75" s="161">
        <f t="shared" si="19"/>
        <v>0.67455743879472707</v>
      </c>
      <c r="Q75" s="161">
        <f t="shared" si="20"/>
        <v>7.3237078886796425E-3</v>
      </c>
      <c r="R75" s="161">
        <f t="shared" si="21"/>
        <v>7.3237078886796425E-3</v>
      </c>
      <c r="S75" s="161">
        <f t="shared" si="22"/>
        <v>7.3237078886796425E-3</v>
      </c>
      <c r="X75" s="157">
        <v>1.51</v>
      </c>
      <c r="Y75" s="161">
        <f t="shared" si="24"/>
        <v>0.67455743879472707</v>
      </c>
      <c r="Z75" s="157">
        <v>1.51</v>
      </c>
      <c r="AA75" s="161">
        <f t="shared" si="25"/>
        <v>0.67455743879472707</v>
      </c>
      <c r="AB75" s="157">
        <v>1.51</v>
      </c>
      <c r="AC75" s="161">
        <f t="shared" si="26"/>
        <v>0.67455743879472707</v>
      </c>
    </row>
    <row r="76" spans="1:29" ht="15.75" customHeight="1" x14ac:dyDescent="0.25">
      <c r="A76" s="159">
        <f t="shared" si="23"/>
        <v>9</v>
      </c>
      <c r="B76" s="4" t="s">
        <v>137</v>
      </c>
      <c r="C76" s="1">
        <v>2.081</v>
      </c>
      <c r="D76" s="1"/>
      <c r="E76" s="160">
        <f t="shared" si="16"/>
        <v>2.081</v>
      </c>
      <c r="F76" s="7">
        <v>4.4200000000000003E-2</v>
      </c>
      <c r="G76" s="160">
        <f t="shared" si="17"/>
        <v>2.1772337309060474</v>
      </c>
      <c r="H76" s="2"/>
      <c r="I76" s="1">
        <v>0</v>
      </c>
      <c r="J76" s="160">
        <f t="shared" si="18"/>
        <v>2.1772337309060474</v>
      </c>
      <c r="K76" s="162"/>
      <c r="L76" s="165"/>
      <c r="M76" s="165"/>
      <c r="N76" s="166"/>
      <c r="O76" s="157">
        <v>0.92100000000000004</v>
      </c>
      <c r="P76" s="161">
        <f t="shared" si="19"/>
        <v>1.2562337309060474</v>
      </c>
      <c r="Q76" s="161">
        <f t="shared" si="20"/>
        <v>1.8802619794936248E-2</v>
      </c>
      <c r="R76" s="161">
        <f t="shared" si="21"/>
        <v>1.8802619794936248E-2</v>
      </c>
      <c r="S76" s="161">
        <f t="shared" si="22"/>
        <v>1.8802619794936248E-2</v>
      </c>
      <c r="X76" s="157">
        <v>0.60799999999999998</v>
      </c>
      <c r="Y76" s="161">
        <f t="shared" si="24"/>
        <v>1.5692337309060473</v>
      </c>
      <c r="Z76" s="157">
        <v>0.60799999999999998</v>
      </c>
      <c r="AA76" s="161">
        <f t="shared" si="25"/>
        <v>1.5692337309060473</v>
      </c>
      <c r="AB76" s="157">
        <v>0.60799999999999998</v>
      </c>
      <c r="AC76" s="161">
        <f t="shared" si="26"/>
        <v>1.5692337309060473</v>
      </c>
    </row>
    <row r="77" spans="1:29" ht="15.75" customHeight="1" x14ac:dyDescent="0.25">
      <c r="A77" s="159">
        <f t="shared" si="23"/>
        <v>10</v>
      </c>
      <c r="B77" s="4" t="s">
        <v>59</v>
      </c>
      <c r="C77" s="1">
        <v>1.9996111111111112</v>
      </c>
      <c r="D77" s="2"/>
      <c r="E77" s="160">
        <f t="shared" si="16"/>
        <v>1.9996111111111112</v>
      </c>
      <c r="F77" s="2"/>
      <c r="G77" s="160">
        <f t="shared" si="17"/>
        <v>1.9996111111111112</v>
      </c>
      <c r="H77" s="2">
        <v>0.15</v>
      </c>
      <c r="I77" s="1">
        <v>8.8199999999999997E-3</v>
      </c>
      <c r="J77" s="160">
        <f t="shared" si="18"/>
        <v>2.1584311111111112</v>
      </c>
      <c r="K77" s="162"/>
      <c r="L77" s="165"/>
      <c r="M77" s="165"/>
      <c r="N77" s="166"/>
      <c r="O77" s="157">
        <v>2.0150000000000001</v>
      </c>
      <c r="P77" s="161">
        <f t="shared" si="19"/>
        <v>0.14343111111111106</v>
      </c>
      <c r="Q77" s="161">
        <f t="shared" si="20"/>
        <v>0.64843111111111118</v>
      </c>
      <c r="R77" s="161">
        <f t="shared" si="21"/>
        <v>0.64843111111111118</v>
      </c>
      <c r="S77" s="161">
        <f t="shared" si="22"/>
        <v>0.64843111111111118</v>
      </c>
      <c r="X77" s="157">
        <v>1.2929999999999999</v>
      </c>
      <c r="Y77" s="161">
        <f t="shared" si="24"/>
        <v>0.86543111111111126</v>
      </c>
      <c r="Z77" s="157">
        <v>1.425</v>
      </c>
      <c r="AA77" s="161">
        <f t="shared" si="25"/>
        <v>0.73343111111111114</v>
      </c>
      <c r="AB77" s="157">
        <v>1.425</v>
      </c>
      <c r="AC77" s="161">
        <f t="shared" si="26"/>
        <v>0.73343111111111114</v>
      </c>
    </row>
    <row r="78" spans="1:29" ht="15.75" customHeight="1" x14ac:dyDescent="0.25">
      <c r="A78" s="159">
        <f t="shared" si="23"/>
        <v>11</v>
      </c>
      <c r="B78" s="4" t="s">
        <v>67</v>
      </c>
      <c r="C78" s="1">
        <v>1.51</v>
      </c>
      <c r="D78" s="1"/>
      <c r="E78" s="160">
        <f t="shared" si="16"/>
        <v>1.51</v>
      </c>
      <c r="F78" s="2"/>
      <c r="G78" s="160">
        <f t="shared" si="17"/>
        <v>1.51</v>
      </c>
      <c r="H78" s="2"/>
      <c r="I78" s="1">
        <v>0</v>
      </c>
      <c r="J78" s="160">
        <f t="shared" si="18"/>
        <v>1.51</v>
      </c>
      <c r="K78" s="162"/>
      <c r="L78" s="165"/>
      <c r="M78" s="165"/>
      <c r="N78" s="166"/>
      <c r="O78" s="157">
        <v>0.46500000000000002</v>
      </c>
      <c r="P78" s="161">
        <f t="shared" si="19"/>
        <v>1.0449999999999999</v>
      </c>
      <c r="Q78" s="161">
        <f t="shared" si="20"/>
        <v>0</v>
      </c>
      <c r="R78" s="161">
        <f t="shared" si="21"/>
        <v>0</v>
      </c>
      <c r="S78" s="161">
        <f t="shared" si="22"/>
        <v>0</v>
      </c>
      <c r="X78" s="157">
        <v>0.51900000000000002</v>
      </c>
      <c r="Y78" s="161">
        <f t="shared" si="24"/>
        <v>0.99099999999999999</v>
      </c>
      <c r="Z78" s="157">
        <v>0.58399999999999996</v>
      </c>
      <c r="AA78" s="161">
        <f t="shared" si="25"/>
        <v>0.92600000000000005</v>
      </c>
      <c r="AB78" s="157">
        <v>0.58399999999999996</v>
      </c>
      <c r="AC78" s="161">
        <f t="shared" si="26"/>
        <v>0.92600000000000005</v>
      </c>
    </row>
    <row r="79" spans="1:29" ht="18" customHeight="1" x14ac:dyDescent="0.25">
      <c r="A79" s="159">
        <f t="shared" si="23"/>
        <v>12</v>
      </c>
      <c r="B79" s="4" t="s">
        <v>68</v>
      </c>
      <c r="C79" s="1">
        <v>1.51</v>
      </c>
      <c r="D79" s="2"/>
      <c r="E79" s="160">
        <f t="shared" si="16"/>
        <v>1.51</v>
      </c>
      <c r="F79" s="2"/>
      <c r="G79" s="160">
        <f t="shared" si="17"/>
        <v>1.51</v>
      </c>
      <c r="H79" s="2"/>
      <c r="I79" s="1">
        <v>0</v>
      </c>
      <c r="J79" s="160">
        <f t="shared" si="18"/>
        <v>1.51</v>
      </c>
      <c r="K79" s="162"/>
      <c r="L79" s="165"/>
      <c r="M79" s="165"/>
      <c r="N79" s="166"/>
      <c r="O79" s="157">
        <v>1.51</v>
      </c>
      <c r="P79" s="161">
        <f t="shared" si="19"/>
        <v>0</v>
      </c>
      <c r="Q79" s="161">
        <f t="shared" si="20"/>
        <v>8.4999999999999964E-2</v>
      </c>
      <c r="R79" s="161">
        <f t="shared" si="21"/>
        <v>8.4999999999999964E-2</v>
      </c>
      <c r="S79" s="161">
        <f t="shared" si="22"/>
        <v>8.4999999999999964E-2</v>
      </c>
      <c r="X79" s="157">
        <v>1.51</v>
      </c>
      <c r="Y79" s="161">
        <f t="shared" si="24"/>
        <v>0</v>
      </c>
      <c r="Z79" s="157">
        <v>1.51</v>
      </c>
      <c r="AA79" s="161">
        <f t="shared" si="25"/>
        <v>0</v>
      </c>
      <c r="AB79" s="157">
        <v>1.51</v>
      </c>
      <c r="AC79" s="161">
        <f t="shared" si="26"/>
        <v>0</v>
      </c>
    </row>
    <row r="80" spans="1:29" ht="17.25" customHeight="1" x14ac:dyDescent="0.25">
      <c r="A80" s="159">
        <f t="shared" si="23"/>
        <v>13</v>
      </c>
      <c r="B80" s="4" t="s">
        <v>58</v>
      </c>
      <c r="C80" s="1">
        <v>1.425</v>
      </c>
      <c r="D80" s="1"/>
      <c r="E80" s="160">
        <f t="shared" si="16"/>
        <v>1.425</v>
      </c>
      <c r="F80" s="2"/>
      <c r="G80" s="160">
        <f t="shared" si="17"/>
        <v>1.425</v>
      </c>
      <c r="H80" s="2"/>
      <c r="I80" s="1">
        <v>0</v>
      </c>
      <c r="J80" s="160">
        <f t="shared" si="18"/>
        <v>1.425</v>
      </c>
      <c r="K80" s="162"/>
      <c r="L80" s="165"/>
      <c r="M80" s="165"/>
      <c r="N80" s="166"/>
      <c r="O80" s="157">
        <v>1.726</v>
      </c>
      <c r="P80" s="161">
        <f t="shared" si="19"/>
        <v>-0.30099999999999993</v>
      </c>
      <c r="Q80" s="161">
        <f t="shared" si="20"/>
        <v>1.5693659761284451E-5</v>
      </c>
      <c r="R80" s="161">
        <f t="shared" si="21"/>
        <v>1.5693659761284451E-5</v>
      </c>
      <c r="S80" s="161">
        <f t="shared" si="22"/>
        <v>1.5693659761284451E-5</v>
      </c>
      <c r="X80" s="157">
        <v>1.252</v>
      </c>
      <c r="Y80" s="161">
        <f t="shared" si="24"/>
        <v>0.17300000000000004</v>
      </c>
      <c r="Z80" s="157">
        <v>0.98399999999999999</v>
      </c>
      <c r="AA80" s="161">
        <f t="shared" si="25"/>
        <v>0.44100000000000006</v>
      </c>
      <c r="AB80" s="157">
        <v>0.98399999999999999</v>
      </c>
      <c r="AC80" s="161">
        <f t="shared" si="26"/>
        <v>0.44100000000000006</v>
      </c>
    </row>
    <row r="81" spans="1:29" ht="17.25" customHeight="1" x14ac:dyDescent="0.25">
      <c r="A81" s="159">
        <f t="shared" si="23"/>
        <v>14</v>
      </c>
      <c r="B81" s="4" t="s">
        <v>141</v>
      </c>
      <c r="C81" s="1">
        <v>1.3620000000000001</v>
      </c>
      <c r="D81" s="1"/>
      <c r="E81" s="160">
        <f t="shared" si="16"/>
        <v>1.3620000000000001</v>
      </c>
      <c r="F81" s="7">
        <v>4.4200000000000003E-2</v>
      </c>
      <c r="G81" s="160">
        <f t="shared" si="17"/>
        <v>1.4249843063402388</v>
      </c>
      <c r="H81" s="2"/>
      <c r="I81" s="1">
        <v>0</v>
      </c>
      <c r="J81" s="160">
        <f t="shared" si="18"/>
        <v>1.4249843063402388</v>
      </c>
      <c r="K81" s="162"/>
      <c r="L81" s="165"/>
      <c r="M81" s="165"/>
      <c r="N81" s="166"/>
      <c r="O81" s="157">
        <v>0.84465019528055008</v>
      </c>
      <c r="P81" s="161">
        <f t="shared" si="19"/>
        <v>0.58033411105968868</v>
      </c>
      <c r="Q81" s="161">
        <f t="shared" si="20"/>
        <v>8.5792006695961653E-2</v>
      </c>
      <c r="R81" s="161">
        <f t="shared" si="21"/>
        <v>8.5792006695961653E-2</v>
      </c>
      <c r="S81" s="161">
        <f t="shared" si="22"/>
        <v>8.5792006695961653E-2</v>
      </c>
      <c r="X81" s="157">
        <v>0.84868557234527009</v>
      </c>
      <c r="Y81" s="161">
        <f t="shared" si="24"/>
        <v>0.57629873399496867</v>
      </c>
      <c r="Z81" s="157">
        <v>0.86406743940990516</v>
      </c>
      <c r="AA81" s="161">
        <f t="shared" si="25"/>
        <v>0.5609168669303336</v>
      </c>
      <c r="AB81" s="157">
        <v>0.8552357113057989</v>
      </c>
      <c r="AC81" s="161">
        <f t="shared" si="26"/>
        <v>0.56974859503443986</v>
      </c>
    </row>
    <row r="82" spans="1:29" ht="15.75" customHeight="1" x14ac:dyDescent="0.25">
      <c r="A82" s="159">
        <f t="shared" si="23"/>
        <v>15</v>
      </c>
      <c r="B82" s="4" t="s">
        <v>142</v>
      </c>
      <c r="C82" s="1">
        <v>1.28</v>
      </c>
      <c r="D82" s="2"/>
      <c r="E82" s="160">
        <f t="shared" si="16"/>
        <v>1.28</v>
      </c>
      <c r="F82" s="7">
        <v>4.4200000000000003E-2</v>
      </c>
      <c r="G82" s="160">
        <f t="shared" si="17"/>
        <v>1.3391922996442771</v>
      </c>
      <c r="H82" s="2"/>
      <c r="I82" s="1">
        <v>0</v>
      </c>
      <c r="J82" s="160">
        <f t="shared" si="18"/>
        <v>1.3391922996442771</v>
      </c>
      <c r="K82" s="162"/>
      <c r="L82" s="165"/>
      <c r="M82" s="165"/>
      <c r="N82" s="166"/>
      <c r="O82" s="157">
        <v>1.0336379311756347</v>
      </c>
      <c r="P82" s="161">
        <f t="shared" si="19"/>
        <v>0.30555436846864237</v>
      </c>
      <c r="Q82" s="161">
        <f t="shared" si="20"/>
        <v>7.8468298807281789E-2</v>
      </c>
      <c r="R82" s="161">
        <f t="shared" si="21"/>
        <v>7.8468298807281789E-2</v>
      </c>
      <c r="S82" s="161">
        <f t="shared" si="22"/>
        <v>7.8468298807281789E-2</v>
      </c>
      <c r="X82" s="157">
        <v>1.0401573173256053</v>
      </c>
      <c r="Y82" s="161">
        <f t="shared" si="24"/>
        <v>0.29903498231867176</v>
      </c>
      <c r="Z82" s="157">
        <v>1.2697576396206534</v>
      </c>
      <c r="AA82" s="161">
        <f t="shared" si="25"/>
        <v>6.9434660023623751E-2</v>
      </c>
      <c r="AB82" s="157">
        <v>1.2567793074676681</v>
      </c>
      <c r="AC82" s="161">
        <f t="shared" si="26"/>
        <v>8.2412992176609023E-2</v>
      </c>
    </row>
    <row r="83" spans="1:29" ht="15.75" customHeight="1" x14ac:dyDescent="0.25">
      <c r="A83" s="159">
        <f t="shared" si="23"/>
        <v>16</v>
      </c>
      <c r="B83" s="4" t="s">
        <v>143</v>
      </c>
      <c r="C83" s="1">
        <v>1.2050000000000001</v>
      </c>
      <c r="D83" s="1"/>
      <c r="E83" s="160">
        <f t="shared" si="16"/>
        <v>1.2050000000000001</v>
      </c>
      <c r="F83" s="7">
        <v>4.4200000000000003E-2</v>
      </c>
      <c r="G83" s="160">
        <f t="shared" si="17"/>
        <v>1.2607240008369953</v>
      </c>
      <c r="H83" s="2"/>
      <c r="I83" s="1">
        <v>0</v>
      </c>
      <c r="J83" s="160">
        <f t="shared" si="18"/>
        <v>1.2607240008369953</v>
      </c>
      <c r="K83" s="162"/>
      <c r="L83" s="165"/>
      <c r="M83" s="165"/>
      <c r="N83" s="166"/>
      <c r="O83" s="157">
        <v>2.1834958486426599</v>
      </c>
      <c r="P83" s="161">
        <f t="shared" si="19"/>
        <v>-0.92277184780566457</v>
      </c>
      <c r="Q83" s="161">
        <f t="shared" si="20"/>
        <v>2.0924879681942787E-3</v>
      </c>
      <c r="R83" s="161">
        <f t="shared" si="21"/>
        <v>2.0924879681942787E-3</v>
      </c>
      <c r="S83" s="161">
        <f t="shared" si="22"/>
        <v>2.0924879681942787E-3</v>
      </c>
      <c r="X83" s="157">
        <v>2.0389153384392467</v>
      </c>
      <c r="Y83" s="161">
        <f t="shared" si="24"/>
        <v>-0.77819133760225134</v>
      </c>
      <c r="Z83" s="157">
        <v>2.2002107481559539</v>
      </c>
      <c r="AA83" s="161">
        <f t="shared" si="25"/>
        <v>-0.93948674731895854</v>
      </c>
      <c r="AB83" s="157">
        <v>2.1777221526908637</v>
      </c>
      <c r="AC83" s="161">
        <f t="shared" si="26"/>
        <v>-0.91699815185386835</v>
      </c>
    </row>
    <row r="84" spans="1:29" ht="15.75" customHeight="1" x14ac:dyDescent="0.25">
      <c r="A84" s="159">
        <f t="shared" si="23"/>
        <v>17</v>
      </c>
      <c r="B84" s="4" t="s">
        <v>138</v>
      </c>
      <c r="C84" s="1">
        <v>1.2030000000000001</v>
      </c>
      <c r="D84" s="1"/>
      <c r="E84" s="160">
        <f t="shared" si="16"/>
        <v>1.2030000000000001</v>
      </c>
      <c r="F84" s="7">
        <v>4.4200000000000003E-2</v>
      </c>
      <c r="G84" s="160">
        <f t="shared" si="17"/>
        <v>1.258631512868801</v>
      </c>
      <c r="H84" s="2"/>
      <c r="I84" s="1">
        <v>0</v>
      </c>
      <c r="J84" s="160">
        <f t="shared" si="18"/>
        <v>1.258631512868801</v>
      </c>
      <c r="K84" s="162"/>
      <c r="L84" s="165"/>
      <c r="M84" s="165"/>
      <c r="N84" s="166"/>
      <c r="O84" s="157">
        <v>1.2527958614306318</v>
      </c>
      <c r="P84" s="161">
        <f t="shared" si="19"/>
        <v>5.8356514381692204E-3</v>
      </c>
      <c r="Q84" s="161">
        <f t="shared" si="20"/>
        <v>0.27463151286880105</v>
      </c>
      <c r="R84" s="161">
        <f t="shared" si="21"/>
        <v>0.27463151286880105</v>
      </c>
      <c r="S84" s="161">
        <f t="shared" si="22"/>
        <v>0.27463151286880105</v>
      </c>
      <c r="X84" s="157">
        <v>1.2989029186503829</v>
      </c>
      <c r="Y84" s="161">
        <f t="shared" si="24"/>
        <v>-4.0271405781581837E-2</v>
      </c>
      <c r="Z84" s="157">
        <v>1.3487881981032668</v>
      </c>
      <c r="AA84" s="161">
        <f t="shared" si="25"/>
        <v>-9.0156685234465739E-2</v>
      </c>
      <c r="AB84" s="157">
        <v>1.3350020859407594</v>
      </c>
      <c r="AC84" s="161">
        <f t="shared" si="26"/>
        <v>-7.6370573071958381E-2</v>
      </c>
    </row>
    <row r="85" spans="1:29" ht="15.75" customHeight="1" x14ac:dyDescent="0.25">
      <c r="A85" s="159">
        <f t="shared" si="23"/>
        <v>18</v>
      </c>
      <c r="B85" s="4" t="s">
        <v>35</v>
      </c>
      <c r="C85" s="1">
        <v>0.98399999999999999</v>
      </c>
      <c r="D85" s="2"/>
      <c r="E85" s="160">
        <f t="shared" si="16"/>
        <v>0.98399999999999999</v>
      </c>
      <c r="F85" s="2"/>
      <c r="G85" s="160">
        <f t="shared" si="17"/>
        <v>0.98399999999999999</v>
      </c>
      <c r="H85" s="2"/>
      <c r="I85" s="1">
        <v>0</v>
      </c>
      <c r="J85" s="160">
        <f t="shared" si="18"/>
        <v>0.98399999999999999</v>
      </c>
      <c r="K85" s="162"/>
      <c r="L85" s="165"/>
      <c r="M85" s="165"/>
      <c r="N85" s="166"/>
      <c r="O85" s="157">
        <v>2.8273340027878811</v>
      </c>
      <c r="P85" s="161">
        <f t="shared" si="19"/>
        <v>-1.8433340027878811</v>
      </c>
      <c r="Q85" s="161">
        <f t="shared" si="20"/>
        <v>0.12607993304038501</v>
      </c>
      <c r="R85" s="161">
        <f t="shared" si="21"/>
        <v>0.12607993304038501</v>
      </c>
      <c r="S85" s="161">
        <f t="shared" si="22"/>
        <v>0.12607993304038501</v>
      </c>
      <c r="X85" s="157">
        <v>2.4094390395363279</v>
      </c>
      <c r="Y85" s="161">
        <f t="shared" si="24"/>
        <v>-1.4254390395363279</v>
      </c>
      <c r="Z85" s="157">
        <v>2.4531085353003159</v>
      </c>
      <c r="AA85" s="161">
        <f t="shared" si="25"/>
        <v>-1.4691085353003159</v>
      </c>
      <c r="AB85" s="157">
        <v>2.4280350438047558</v>
      </c>
      <c r="AC85" s="161">
        <f t="shared" si="26"/>
        <v>-1.4440350438047558</v>
      </c>
    </row>
    <row r="86" spans="1:29" ht="15.75" customHeight="1" x14ac:dyDescent="0.25">
      <c r="A86" s="159">
        <f t="shared" si="23"/>
        <v>19</v>
      </c>
      <c r="B86" s="4" t="s">
        <v>40</v>
      </c>
      <c r="C86" s="1">
        <v>0.82</v>
      </c>
      <c r="D86" s="2"/>
      <c r="E86" s="160">
        <f t="shared" si="16"/>
        <v>0.82</v>
      </c>
      <c r="F86" s="7">
        <v>4.4200000000000003E-2</v>
      </c>
      <c r="G86" s="160">
        <f t="shared" si="17"/>
        <v>0.85792006695961498</v>
      </c>
      <c r="H86" s="2"/>
      <c r="I86" s="1">
        <v>0</v>
      </c>
      <c r="J86" s="160">
        <f t="shared" si="18"/>
        <v>0.85792006695961498</v>
      </c>
      <c r="K86" s="162"/>
      <c r="L86" s="165"/>
      <c r="M86" s="165"/>
      <c r="N86" s="166"/>
      <c r="O86" s="157">
        <v>1.7361003261935042</v>
      </c>
      <c r="P86" s="161">
        <f t="shared" si="19"/>
        <v>-0.8781802592338892</v>
      </c>
      <c r="Q86" s="161">
        <f t="shared" si="20"/>
        <v>0.135920066959615</v>
      </c>
      <c r="R86" s="161">
        <f t="shared" si="21"/>
        <v>0.135920066959615</v>
      </c>
      <c r="S86" s="161">
        <f t="shared" si="22"/>
        <v>0.135920066959615</v>
      </c>
      <c r="X86" s="157">
        <v>2.0378803560339476</v>
      </c>
      <c r="Y86" s="161">
        <f t="shared" si="24"/>
        <v>-1.1799602890743326</v>
      </c>
      <c r="Z86" s="157">
        <v>2.5163329820864067</v>
      </c>
      <c r="AA86" s="161">
        <f t="shared" si="25"/>
        <v>-1.6584129151267917</v>
      </c>
      <c r="AB86" s="157">
        <v>2.490613266583229</v>
      </c>
      <c r="AC86" s="161">
        <f t="shared" si="26"/>
        <v>-1.632693199623614</v>
      </c>
    </row>
    <row r="87" spans="1:29" ht="15.75" customHeight="1" x14ac:dyDescent="0.25">
      <c r="A87" s="159">
        <f t="shared" si="23"/>
        <v>20</v>
      </c>
      <c r="B87" s="4" t="s">
        <v>39</v>
      </c>
      <c r="C87" s="1">
        <v>0.72199999999999998</v>
      </c>
      <c r="D87" s="2"/>
      <c r="E87" s="160">
        <f t="shared" si="16"/>
        <v>0.72199999999999998</v>
      </c>
      <c r="F87" s="2"/>
      <c r="G87" s="160">
        <f t="shared" si="17"/>
        <v>0.72199999999999998</v>
      </c>
      <c r="H87" s="2"/>
      <c r="I87" s="1">
        <v>0</v>
      </c>
      <c r="J87" s="160">
        <f t="shared" si="18"/>
        <v>0.72199999999999998</v>
      </c>
      <c r="K87" s="162"/>
      <c r="L87" s="165"/>
      <c r="M87" s="165"/>
      <c r="N87" s="166"/>
      <c r="O87" s="157">
        <v>2.5544820495776959</v>
      </c>
      <c r="P87" s="161">
        <f t="shared" si="19"/>
        <v>-1.8324820495776959</v>
      </c>
      <c r="Q87" s="161">
        <f t="shared" si="20"/>
        <v>0.11399999999999999</v>
      </c>
      <c r="R87" s="161">
        <f t="shared" si="21"/>
        <v>0.11399999999999999</v>
      </c>
      <c r="S87" s="161">
        <f t="shared" si="22"/>
        <v>0.11399999999999999</v>
      </c>
      <c r="X87" s="157">
        <v>2.5377768577934177</v>
      </c>
      <c r="Y87" s="161">
        <f t="shared" si="24"/>
        <v>-1.8157768577934177</v>
      </c>
      <c r="Z87" s="157">
        <v>2.3445732349841939</v>
      </c>
      <c r="AA87" s="161">
        <f t="shared" si="25"/>
        <v>-1.6225732349841939</v>
      </c>
      <c r="AB87" s="157">
        <v>2.3206090947017106</v>
      </c>
      <c r="AC87" s="161">
        <f t="shared" si="26"/>
        <v>-1.5986090947017106</v>
      </c>
    </row>
    <row r="88" spans="1:29" ht="15.75" customHeight="1" x14ac:dyDescent="0.25">
      <c r="A88" s="159">
        <f t="shared" si="23"/>
        <v>21</v>
      </c>
      <c r="B88" s="4" t="s">
        <v>38</v>
      </c>
      <c r="C88" s="1">
        <v>0.60799999999999998</v>
      </c>
      <c r="D88" s="1"/>
      <c r="E88" s="160">
        <f t="shared" si="16"/>
        <v>0.60799999999999998</v>
      </c>
      <c r="F88" s="2"/>
      <c r="G88" s="160">
        <f t="shared" si="17"/>
        <v>0.60799999999999998</v>
      </c>
      <c r="H88" s="2"/>
      <c r="I88" s="1">
        <v>0</v>
      </c>
      <c r="J88" s="160">
        <f t="shared" si="18"/>
        <v>0.60799999999999998</v>
      </c>
      <c r="K88" s="162"/>
      <c r="L88" s="165"/>
      <c r="M88" s="165"/>
      <c r="N88" s="166"/>
      <c r="O88" s="157">
        <v>2.3859832290950469</v>
      </c>
      <c r="P88" s="161">
        <f t="shared" si="19"/>
        <v>-1.7779832290950468</v>
      </c>
      <c r="Q88" s="161">
        <f t="shared" si="20"/>
        <v>6.0000000000000053E-3</v>
      </c>
      <c r="R88" s="161">
        <f t="shared" si="21"/>
        <v>6.0000000000000053E-3</v>
      </c>
      <c r="S88" s="161">
        <f t="shared" si="22"/>
        <v>6.0000000000000053E-3</v>
      </c>
      <c r="X88" s="157">
        <v>2.8420616849513558</v>
      </c>
      <c r="Y88" s="161">
        <f t="shared" si="24"/>
        <v>-2.2340616849513557</v>
      </c>
      <c r="Z88" s="157">
        <v>3.1085353003161225</v>
      </c>
      <c r="AA88" s="161">
        <f t="shared" si="25"/>
        <v>-2.5005353003161224</v>
      </c>
      <c r="AB88" s="157">
        <v>3.0767626199415941</v>
      </c>
      <c r="AC88" s="161">
        <f t="shared" si="26"/>
        <v>-2.468762619941594</v>
      </c>
    </row>
    <row r="89" spans="1:29" ht="15.75" customHeight="1" x14ac:dyDescent="0.25">
      <c r="A89" s="159">
        <f t="shared" si="23"/>
        <v>22</v>
      </c>
      <c r="B89" s="4" t="s">
        <v>42</v>
      </c>
      <c r="C89" s="1">
        <v>0.60199999999999998</v>
      </c>
      <c r="D89" s="2"/>
      <c r="E89" s="160">
        <f t="shared" si="16"/>
        <v>0.60199999999999998</v>
      </c>
      <c r="F89" s="2"/>
      <c r="G89" s="160">
        <f t="shared" si="17"/>
        <v>0.60199999999999998</v>
      </c>
      <c r="H89" s="2"/>
      <c r="I89" s="1">
        <v>0</v>
      </c>
      <c r="J89" s="160">
        <f t="shared" si="18"/>
        <v>0.60199999999999998</v>
      </c>
      <c r="K89" s="162"/>
      <c r="L89" s="165"/>
      <c r="M89" s="165"/>
      <c r="N89" s="166"/>
      <c r="O89" s="157">
        <v>1.2064541728125984</v>
      </c>
      <c r="P89" s="161">
        <f t="shared" si="19"/>
        <v>-0.60445417281259839</v>
      </c>
      <c r="Q89" s="161">
        <f t="shared" si="20"/>
        <v>1.3000000000000012E-2</v>
      </c>
      <c r="R89" s="161">
        <f t="shared" si="21"/>
        <v>1.3000000000000012E-2</v>
      </c>
      <c r="S89" s="161">
        <f t="shared" si="22"/>
        <v>1.3000000000000012E-2</v>
      </c>
      <c r="X89" s="157">
        <v>1.2450838335748293</v>
      </c>
      <c r="Y89" s="161">
        <f t="shared" si="24"/>
        <v>-0.64308383357482934</v>
      </c>
      <c r="Z89" s="157">
        <v>1.267650158061117</v>
      </c>
      <c r="AA89" s="161">
        <f t="shared" si="25"/>
        <v>-0.66565015806111705</v>
      </c>
      <c r="AB89" s="157">
        <v>1.2546933667083855</v>
      </c>
      <c r="AC89" s="161">
        <f t="shared" si="26"/>
        <v>-0.65269336670838551</v>
      </c>
    </row>
    <row r="90" spans="1:29" ht="15.75" customHeight="1" x14ac:dyDescent="0.25">
      <c r="A90" s="159">
        <f t="shared" si="23"/>
        <v>23</v>
      </c>
      <c r="B90" s="4" t="s">
        <v>41</v>
      </c>
      <c r="C90" s="1">
        <v>0.58899999999999997</v>
      </c>
      <c r="D90" s="2"/>
      <c r="E90" s="160">
        <f t="shared" si="16"/>
        <v>0.58899999999999997</v>
      </c>
      <c r="F90" s="2"/>
      <c r="G90" s="160">
        <f t="shared" si="17"/>
        <v>0.58899999999999997</v>
      </c>
      <c r="H90" s="2"/>
      <c r="I90" s="1">
        <v>0</v>
      </c>
      <c r="J90" s="160">
        <f t="shared" si="18"/>
        <v>0.58899999999999997</v>
      </c>
      <c r="K90" s="162"/>
      <c r="L90" s="165"/>
      <c r="M90" s="165"/>
      <c r="N90" s="166"/>
      <c r="O90" s="157">
        <v>1.5828545035614947</v>
      </c>
      <c r="P90" s="161">
        <f t="shared" si="19"/>
        <v>-0.99385450356149474</v>
      </c>
      <c r="Q90" s="161">
        <f t="shared" si="20"/>
        <v>5.0000000000000044E-3</v>
      </c>
      <c r="R90" s="161">
        <f t="shared" si="21"/>
        <v>5.0000000000000044E-3</v>
      </c>
      <c r="S90" s="161">
        <f t="shared" si="22"/>
        <v>5.0000000000000044E-3</v>
      </c>
      <c r="X90" s="157">
        <v>1.5928379217553301</v>
      </c>
      <c r="Y90" s="161">
        <f t="shared" si="24"/>
        <v>-1.0038379217553302</v>
      </c>
      <c r="Z90" s="157">
        <v>1.4351949420442573</v>
      </c>
      <c r="AA90" s="161">
        <f t="shared" si="25"/>
        <v>-0.84619494204425738</v>
      </c>
      <c r="AB90" s="157">
        <v>1.4205256570713394</v>
      </c>
      <c r="AC90" s="161">
        <f t="shared" si="26"/>
        <v>-0.83152565707133941</v>
      </c>
    </row>
    <row r="91" spans="1:29" ht="15.75" customHeight="1" x14ac:dyDescent="0.25">
      <c r="A91" s="159">
        <f t="shared" si="23"/>
        <v>24</v>
      </c>
      <c r="B91" s="4" t="s">
        <v>45</v>
      </c>
      <c r="C91" s="1">
        <v>0.58399999999999996</v>
      </c>
      <c r="D91" s="1"/>
      <c r="E91" s="160">
        <f t="shared" si="16"/>
        <v>0.58399999999999996</v>
      </c>
      <c r="F91" s="2"/>
      <c r="G91" s="160">
        <f t="shared" si="17"/>
        <v>0.58399999999999996</v>
      </c>
      <c r="H91" s="2"/>
      <c r="I91" s="1">
        <v>0</v>
      </c>
      <c r="J91" s="160">
        <f t="shared" si="18"/>
        <v>0.58399999999999996</v>
      </c>
      <c r="K91" s="162"/>
      <c r="L91" s="165"/>
      <c r="M91" s="165"/>
      <c r="N91" s="166"/>
      <c r="O91" s="157">
        <v>2.2251304271335828</v>
      </c>
      <c r="P91" s="161">
        <f t="shared" si="19"/>
        <v>-1.6411304271335827</v>
      </c>
      <c r="Q91" s="161">
        <f t="shared" si="20"/>
        <v>0.12699999999999995</v>
      </c>
      <c r="R91" s="161">
        <f t="shared" si="21"/>
        <v>0.12699999999999995</v>
      </c>
      <c r="S91" s="161">
        <f t="shared" si="22"/>
        <v>0.12699999999999995</v>
      </c>
      <c r="X91" s="157">
        <v>2.1537983854274478</v>
      </c>
      <c r="Y91" s="161">
        <f t="shared" si="24"/>
        <v>-1.5697983854274478</v>
      </c>
      <c r="Z91" s="157">
        <v>2.1928345626975765</v>
      </c>
      <c r="AA91" s="161">
        <f t="shared" si="25"/>
        <v>-1.6088345626975764</v>
      </c>
      <c r="AB91" s="157">
        <v>2.1704213600333748</v>
      </c>
      <c r="AC91" s="161">
        <f t="shared" si="26"/>
        <v>-1.5864213600333748</v>
      </c>
    </row>
    <row r="92" spans="1:29" ht="15.75" customHeight="1" x14ac:dyDescent="0.25">
      <c r="A92" s="159">
        <f t="shared" si="23"/>
        <v>25</v>
      </c>
      <c r="B92" s="4" t="s">
        <v>44</v>
      </c>
      <c r="C92" s="1">
        <v>0.45700000000000002</v>
      </c>
      <c r="D92" s="2"/>
      <c r="E92" s="160">
        <f t="shared" si="16"/>
        <v>0.45700000000000002</v>
      </c>
      <c r="F92" s="2"/>
      <c r="G92" s="160">
        <f t="shared" si="17"/>
        <v>0.45700000000000002</v>
      </c>
      <c r="H92" s="2"/>
      <c r="I92" s="1">
        <v>0</v>
      </c>
      <c r="J92" s="160">
        <f t="shared" si="18"/>
        <v>0.45700000000000002</v>
      </c>
      <c r="K92" s="162"/>
      <c r="L92" s="165"/>
      <c r="M92" s="165"/>
      <c r="N92" s="166"/>
      <c r="O92" s="157">
        <v>2.2308066395223407</v>
      </c>
      <c r="P92" s="161">
        <f t="shared" si="19"/>
        <v>-1.7738066395223406</v>
      </c>
      <c r="Q92" s="161">
        <f t="shared" si="20"/>
        <v>0.21900000000000003</v>
      </c>
      <c r="R92" s="161">
        <f t="shared" si="21"/>
        <v>0.21900000000000003</v>
      </c>
      <c r="S92" s="161">
        <f t="shared" si="22"/>
        <v>0.21900000000000003</v>
      </c>
      <c r="X92" s="157">
        <v>2.2831711860898367</v>
      </c>
      <c r="Y92" s="161">
        <f t="shared" si="24"/>
        <v>-1.8261711860898366</v>
      </c>
      <c r="Z92" s="157">
        <v>2.3245521601685986</v>
      </c>
      <c r="AA92" s="161">
        <f t="shared" si="25"/>
        <v>-1.8675521601685985</v>
      </c>
      <c r="AB92" s="157">
        <v>2.3007926574885271</v>
      </c>
      <c r="AC92" s="161">
        <f t="shared" si="26"/>
        <v>-1.8437926574885271</v>
      </c>
    </row>
    <row r="93" spans="1:29" ht="15.75" customHeight="1" x14ac:dyDescent="0.25">
      <c r="A93" s="159">
        <f t="shared" si="23"/>
        <v>26</v>
      </c>
      <c r="B93" s="4" t="s">
        <v>46</v>
      </c>
      <c r="C93" s="1">
        <v>0.23799999999999999</v>
      </c>
      <c r="D93" s="2"/>
      <c r="E93" s="160">
        <f t="shared" si="16"/>
        <v>0.23799999999999999</v>
      </c>
      <c r="F93" s="2"/>
      <c r="G93" s="160">
        <f t="shared" si="17"/>
        <v>0.23799999999999999</v>
      </c>
      <c r="H93" s="2"/>
      <c r="I93" s="1">
        <v>0</v>
      </c>
      <c r="J93" s="160">
        <f t="shared" si="18"/>
        <v>0.23799999999999999</v>
      </c>
      <c r="K93" s="162"/>
      <c r="L93" s="165"/>
      <c r="M93" s="165"/>
      <c r="N93" s="166"/>
      <c r="O93" s="157">
        <v>2.7386220641644097</v>
      </c>
      <c r="P93" s="161">
        <f t="shared" si="19"/>
        <v>-2.5006220641644097</v>
      </c>
      <c r="Q93" s="161">
        <f t="shared" si="20"/>
        <v>4.7999999999999987E-2</v>
      </c>
      <c r="R93" s="161">
        <f t="shared" si="21"/>
        <v>4.7999999999999987E-2</v>
      </c>
      <c r="S93" s="161">
        <f t="shared" si="22"/>
        <v>4.7999999999999987E-2</v>
      </c>
      <c r="X93" s="157">
        <v>2.1889877872076178</v>
      </c>
      <c r="Y93" s="161">
        <f t="shared" si="24"/>
        <v>-1.9509877872076178</v>
      </c>
      <c r="Z93" s="157">
        <v>2.228661749209695</v>
      </c>
      <c r="AA93" s="161">
        <f t="shared" si="25"/>
        <v>-1.990661749209695</v>
      </c>
      <c r="AB93" s="157">
        <v>2.2058823529411766</v>
      </c>
      <c r="AC93" s="161">
        <f t="shared" si="26"/>
        <v>-1.9678823529411766</v>
      </c>
    </row>
    <row r="94" spans="1:29" x14ac:dyDescent="0.25">
      <c r="A94" s="159">
        <f t="shared" si="23"/>
        <v>27</v>
      </c>
      <c r="B94" s="4" t="s">
        <v>47</v>
      </c>
      <c r="C94" s="1">
        <v>0.19</v>
      </c>
      <c r="D94" s="2"/>
      <c r="E94" s="160">
        <f t="shared" si="16"/>
        <v>0.19</v>
      </c>
      <c r="F94" s="2"/>
      <c r="G94" s="160">
        <f t="shared" si="17"/>
        <v>0.19</v>
      </c>
      <c r="H94" s="2"/>
      <c r="I94" s="1">
        <v>0</v>
      </c>
      <c r="J94" s="160">
        <f t="shared" si="18"/>
        <v>0.19</v>
      </c>
      <c r="K94" s="162"/>
      <c r="L94" s="87"/>
      <c r="M94" s="87"/>
      <c r="N94" s="166"/>
      <c r="O94" s="157">
        <v>2.4344521701397079</v>
      </c>
      <c r="P94" s="161">
        <f t="shared" si="19"/>
        <v>-2.244452170139708</v>
      </c>
      <c r="Q94" s="161">
        <f t="shared" si="20"/>
        <v>0.19</v>
      </c>
      <c r="R94" s="161">
        <f t="shared" si="21"/>
        <v>0.19</v>
      </c>
      <c r="S94" s="161">
        <f t="shared" si="22"/>
        <v>0.19</v>
      </c>
      <c r="X94" s="157">
        <v>2.2065824880977027</v>
      </c>
      <c r="Y94" s="161">
        <f t="shared" si="24"/>
        <v>-2.0165824880977028</v>
      </c>
      <c r="Z94" s="157">
        <v>2.3256059009483665</v>
      </c>
      <c r="AA94" s="161">
        <f t="shared" si="25"/>
        <v>-2.1356059009483666</v>
      </c>
      <c r="AB94" s="157">
        <v>2.3018356278681686</v>
      </c>
      <c r="AC94" s="161">
        <f t="shared" si="26"/>
        <v>-2.1118356278681687</v>
      </c>
    </row>
    <row r="95" spans="1:29" x14ac:dyDescent="0.25">
      <c r="A95" s="168"/>
      <c r="B95" s="176"/>
      <c r="C95" s="162"/>
      <c r="D95" s="87"/>
      <c r="E95" s="162"/>
      <c r="F95" s="87"/>
      <c r="G95" s="162"/>
      <c r="H95" s="87"/>
      <c r="I95" s="87"/>
      <c r="J95" s="87"/>
      <c r="K95" s="87"/>
      <c r="L95" s="87"/>
      <c r="M95" s="87"/>
      <c r="N95" s="166"/>
    </row>
    <row r="96" spans="1:29" ht="18" customHeight="1" x14ac:dyDescent="0.25">
      <c r="A96" s="255" t="s">
        <v>325</v>
      </c>
      <c r="B96" s="255"/>
      <c r="C96" s="255"/>
      <c r="D96" s="255"/>
      <c r="E96" s="255"/>
      <c r="F96" s="255"/>
      <c r="G96" s="255"/>
      <c r="H96" s="255"/>
      <c r="I96" s="255"/>
      <c r="J96" s="255"/>
      <c r="K96" s="255"/>
      <c r="L96" s="164"/>
      <c r="M96" s="164"/>
      <c r="N96" s="164"/>
    </row>
    <row r="97" spans="1:29" ht="19.899999999999999" customHeight="1" x14ac:dyDescent="0.25">
      <c r="A97" s="248" t="s">
        <v>0</v>
      </c>
      <c r="B97" s="249" t="s">
        <v>1</v>
      </c>
      <c r="C97" s="248" t="s">
        <v>99</v>
      </c>
      <c r="D97" s="249" t="s">
        <v>108</v>
      </c>
      <c r="E97" s="249" t="s">
        <v>109</v>
      </c>
      <c r="F97" s="252" t="s">
        <v>193</v>
      </c>
      <c r="G97" s="249" t="s">
        <v>191</v>
      </c>
      <c r="H97" s="249" t="s">
        <v>3</v>
      </c>
      <c r="I97" s="249" t="s">
        <v>55</v>
      </c>
      <c r="J97" s="249" t="s">
        <v>234</v>
      </c>
      <c r="K97" s="249" t="s">
        <v>120</v>
      </c>
      <c r="L97" s="166"/>
      <c r="M97" s="166"/>
      <c r="N97" s="166"/>
    </row>
    <row r="98" spans="1:29" ht="19.5" customHeight="1" x14ac:dyDescent="0.25">
      <c r="A98" s="248"/>
      <c r="B98" s="250"/>
      <c r="C98" s="248"/>
      <c r="D98" s="250"/>
      <c r="E98" s="250"/>
      <c r="F98" s="253"/>
      <c r="G98" s="251"/>
      <c r="H98" s="250"/>
      <c r="I98" s="250"/>
      <c r="J98" s="250"/>
      <c r="K98" s="250"/>
      <c r="L98" s="166"/>
      <c r="M98" s="166"/>
      <c r="N98" s="166"/>
    </row>
    <row r="99" spans="1:29" ht="29.25" customHeight="1" x14ac:dyDescent="0.25">
      <c r="A99" s="248"/>
      <c r="B99" s="251"/>
      <c r="C99" s="248"/>
      <c r="D99" s="251"/>
      <c r="E99" s="251"/>
      <c r="F99" s="254"/>
      <c r="G99" s="232" t="s">
        <v>4</v>
      </c>
      <c r="H99" s="251"/>
      <c r="I99" s="251"/>
      <c r="J99" s="251"/>
      <c r="K99" s="251"/>
      <c r="L99" s="166"/>
      <c r="M99" s="166"/>
      <c r="N99" s="166"/>
    </row>
    <row r="100" spans="1:29" ht="30" customHeight="1" x14ac:dyDescent="0.25">
      <c r="A100" s="229" t="s">
        <v>5</v>
      </c>
      <c r="B100" s="229" t="s">
        <v>6</v>
      </c>
      <c r="C100" s="229" t="s">
        <v>7</v>
      </c>
      <c r="D100" s="229" t="s">
        <v>8</v>
      </c>
      <c r="E100" s="229" t="s">
        <v>9</v>
      </c>
      <c r="F100" s="229" t="s">
        <v>10</v>
      </c>
      <c r="G100" s="229" t="s">
        <v>192</v>
      </c>
      <c r="H100" s="229" t="s">
        <v>189</v>
      </c>
      <c r="I100" s="229" t="s">
        <v>11</v>
      </c>
      <c r="J100" s="229" t="s">
        <v>12</v>
      </c>
      <c r="K100" s="229" t="s">
        <v>248</v>
      </c>
      <c r="L100" s="166"/>
      <c r="M100" s="166"/>
      <c r="N100" s="166"/>
    </row>
    <row r="101" spans="1:29" ht="15.75" customHeight="1" x14ac:dyDescent="0.25">
      <c r="A101" s="167">
        <v>1</v>
      </c>
      <c r="B101" s="4" t="s">
        <v>16</v>
      </c>
      <c r="C101" s="1">
        <v>35.627000000000002</v>
      </c>
      <c r="D101" s="1"/>
      <c r="E101" s="160">
        <f t="shared" ref="E101:E117" si="27">C101+D101</f>
        <v>35.627000000000002</v>
      </c>
      <c r="F101" s="7">
        <v>4.4200000000000003E-2</v>
      </c>
      <c r="G101" s="160">
        <f t="shared" ref="G101:G117" si="28">E101/((100%-F101))</f>
        <v>37.274534421427077</v>
      </c>
      <c r="H101" s="2"/>
      <c r="I101" s="5"/>
      <c r="J101" s="1">
        <v>0</v>
      </c>
      <c r="K101" s="160">
        <f t="shared" ref="K101:K117" si="29">SUM(G101:J101)</f>
        <v>37.274534421427077</v>
      </c>
      <c r="L101" s="166"/>
      <c r="M101" s="166"/>
      <c r="N101" s="166"/>
      <c r="O101" s="157">
        <v>7.0915544728295634</v>
      </c>
      <c r="P101" s="161">
        <f t="shared" ref="P101:P108" si="30">O101-K101</f>
        <v>-30.182979948597513</v>
      </c>
      <c r="Q101" s="161">
        <f>K101-K102</f>
        <v>6.182255702029714</v>
      </c>
      <c r="R101" s="161"/>
      <c r="S101" s="161">
        <f t="shared" ref="S101:S107" si="31">K101-K102</f>
        <v>6.182255702029714</v>
      </c>
      <c r="W101" s="161"/>
      <c r="X101" s="157">
        <v>14.086110536120886</v>
      </c>
      <c r="Y101" s="161">
        <f>K101-X101</f>
        <v>23.188423885306193</v>
      </c>
      <c r="Z101" s="157">
        <v>9.4193888303477351</v>
      </c>
      <c r="AA101" s="161">
        <f>K101-Z101</f>
        <v>27.855145591079342</v>
      </c>
      <c r="AB101" s="157">
        <v>9.2980809345014599</v>
      </c>
      <c r="AC101" s="161">
        <f>K101-AB101</f>
        <v>27.976453486925617</v>
      </c>
    </row>
    <row r="102" spans="1:29" ht="15.75" customHeight="1" x14ac:dyDescent="0.25">
      <c r="A102" s="159">
        <f t="shared" ref="A102:A117" si="32">+A101+1</f>
        <v>2</v>
      </c>
      <c r="B102" s="4" t="s">
        <v>17</v>
      </c>
      <c r="C102" s="1">
        <v>29.718</v>
      </c>
      <c r="D102" s="1"/>
      <c r="E102" s="160">
        <f t="shared" si="27"/>
        <v>29.718</v>
      </c>
      <c r="F102" s="7">
        <v>4.4200000000000003E-2</v>
      </c>
      <c r="G102" s="160">
        <f t="shared" si="28"/>
        <v>31.092278719397363</v>
      </c>
      <c r="H102" s="2"/>
      <c r="I102" s="5"/>
      <c r="J102" s="1">
        <v>0</v>
      </c>
      <c r="K102" s="160">
        <f t="shared" si="29"/>
        <v>31.092278719397363</v>
      </c>
      <c r="L102" s="87"/>
      <c r="M102" s="87"/>
      <c r="O102" s="157">
        <v>7.2336513550154224</v>
      </c>
      <c r="P102" s="161">
        <f t="shared" si="30"/>
        <v>-23.858627364381942</v>
      </c>
      <c r="Q102" s="161">
        <f>K102-K103</f>
        <v>5.9374346097509942</v>
      </c>
      <c r="R102" s="161"/>
      <c r="S102" s="161">
        <f t="shared" si="31"/>
        <v>5.9374346097509942</v>
      </c>
      <c r="W102" s="161"/>
      <c r="X102" s="157">
        <v>12.691989236182986</v>
      </c>
      <c r="Y102" s="161">
        <f t="shared" ref="Y102:Y116" si="33">K102-X102</f>
        <v>18.40028948321438</v>
      </c>
      <c r="Z102" s="157">
        <v>9.9452054794520564</v>
      </c>
      <c r="AA102" s="161">
        <f t="shared" ref="AA102:AA117" si="34">K102-Z102</f>
        <v>21.147073239945307</v>
      </c>
      <c r="AB102" s="157">
        <v>13.565915727993325</v>
      </c>
      <c r="AC102" s="161">
        <f t="shared" ref="AC102:AC117" si="35">K102-AB102</f>
        <v>17.526362991404039</v>
      </c>
    </row>
    <row r="103" spans="1:29" ht="15.75" customHeight="1" x14ac:dyDescent="0.25">
      <c r="A103" s="159">
        <f t="shared" si="32"/>
        <v>3</v>
      </c>
      <c r="B103" s="4" t="s">
        <v>128</v>
      </c>
      <c r="C103" s="1">
        <v>24.042999999999999</v>
      </c>
      <c r="D103" s="1"/>
      <c r="E103" s="160">
        <f t="shared" si="27"/>
        <v>24.042999999999999</v>
      </c>
      <c r="F103" s="7">
        <v>4.4200000000000003E-2</v>
      </c>
      <c r="G103" s="160">
        <f t="shared" si="28"/>
        <v>25.154844109646369</v>
      </c>
      <c r="H103" s="2"/>
      <c r="I103" s="5"/>
      <c r="J103" s="1">
        <v>0</v>
      </c>
      <c r="K103" s="160">
        <f t="shared" si="29"/>
        <v>25.154844109646369</v>
      </c>
      <c r="L103" s="87"/>
      <c r="M103" s="87"/>
      <c r="O103" s="157">
        <v>16.24198031776216</v>
      </c>
      <c r="P103" s="161">
        <f t="shared" si="30"/>
        <v>-8.9128637918842095</v>
      </c>
      <c r="Q103" s="161">
        <f>K103-K104</f>
        <v>0.17681523331240712</v>
      </c>
      <c r="R103" s="161"/>
      <c r="S103" s="161">
        <f t="shared" si="31"/>
        <v>0.17681523331240712</v>
      </c>
      <c r="W103" s="161"/>
      <c r="X103" s="157">
        <v>30.757607120678951</v>
      </c>
      <c r="Y103" s="161">
        <f t="shared" si="33"/>
        <v>-5.6027630110325823</v>
      </c>
      <c r="Z103" s="157">
        <v>31.315068493150687</v>
      </c>
      <c r="AA103" s="161">
        <f t="shared" si="34"/>
        <v>-6.1602243835043176</v>
      </c>
      <c r="AB103" s="157">
        <v>30.994993742177723</v>
      </c>
      <c r="AC103" s="161">
        <f t="shared" si="35"/>
        <v>-5.8401496325313538</v>
      </c>
    </row>
    <row r="104" spans="1:29" ht="15.75" customHeight="1" x14ac:dyDescent="0.25">
      <c r="A104" s="159">
        <f t="shared" si="32"/>
        <v>4</v>
      </c>
      <c r="B104" s="4" t="s">
        <v>158</v>
      </c>
      <c r="C104" s="1">
        <v>23.873999999999999</v>
      </c>
      <c r="D104" s="1"/>
      <c r="E104" s="160">
        <f t="shared" si="27"/>
        <v>23.873999999999999</v>
      </c>
      <c r="F104" s="7">
        <v>4.4200000000000003E-2</v>
      </c>
      <c r="G104" s="160">
        <f t="shared" si="28"/>
        <v>24.978028876333962</v>
      </c>
      <c r="H104" s="2"/>
      <c r="I104" s="2"/>
      <c r="J104" s="1">
        <v>0</v>
      </c>
      <c r="K104" s="160">
        <f t="shared" si="29"/>
        <v>24.978028876333962</v>
      </c>
      <c r="L104" s="166"/>
      <c r="M104" s="166"/>
      <c r="N104" s="166"/>
      <c r="O104" s="157">
        <v>5.45</v>
      </c>
      <c r="P104" s="161">
        <f t="shared" si="30"/>
        <v>-19.528028876333963</v>
      </c>
      <c r="Q104" s="161" t="e">
        <f>K104-#REF!</f>
        <v>#REF!</v>
      </c>
      <c r="R104" s="161"/>
      <c r="S104" s="161">
        <f t="shared" si="31"/>
        <v>5.424775057543421</v>
      </c>
      <c r="W104" s="161"/>
      <c r="X104" s="157">
        <v>14.077830676878493</v>
      </c>
      <c r="Y104" s="161">
        <f t="shared" si="33"/>
        <v>10.900198199455469</v>
      </c>
      <c r="Z104" s="157">
        <v>9.4625922023182305</v>
      </c>
      <c r="AA104" s="161">
        <f t="shared" si="34"/>
        <v>15.515436674015731</v>
      </c>
      <c r="AB104" s="157">
        <v>9.3387567793074684</v>
      </c>
      <c r="AC104" s="161">
        <f t="shared" si="35"/>
        <v>15.639272097026494</v>
      </c>
    </row>
    <row r="105" spans="1:29" ht="15.75" customHeight="1" x14ac:dyDescent="0.25">
      <c r="A105" s="159">
        <f t="shared" si="32"/>
        <v>5</v>
      </c>
      <c r="B105" s="4" t="s">
        <v>155</v>
      </c>
      <c r="C105" s="1">
        <v>18.689</v>
      </c>
      <c r="D105" s="15"/>
      <c r="E105" s="160">
        <f t="shared" si="27"/>
        <v>18.689</v>
      </c>
      <c r="F105" s="7">
        <v>4.4200000000000003E-2</v>
      </c>
      <c r="G105" s="160">
        <f t="shared" si="28"/>
        <v>19.553253818790541</v>
      </c>
      <c r="H105" s="2"/>
      <c r="I105" s="2"/>
      <c r="J105" s="1">
        <v>0</v>
      </c>
      <c r="K105" s="160">
        <f t="shared" si="29"/>
        <v>19.553253818790541</v>
      </c>
      <c r="L105" s="87"/>
      <c r="M105" s="87"/>
      <c r="O105" s="157">
        <v>8.267798607342149</v>
      </c>
      <c r="P105" s="161">
        <f t="shared" si="30"/>
        <v>-11.285455211448392</v>
      </c>
      <c r="Q105" s="161">
        <f>K105-K106</f>
        <v>1.2460765850596331</v>
      </c>
      <c r="R105" s="161"/>
      <c r="S105" s="161">
        <f t="shared" si="31"/>
        <v>1.2460765850596331</v>
      </c>
      <c r="W105" s="161"/>
      <c r="X105" s="157">
        <v>13.970192506727386</v>
      </c>
      <c r="Y105" s="161">
        <f t="shared" si="33"/>
        <v>5.5830613120631547</v>
      </c>
      <c r="Z105" s="157">
        <v>10.055848261327712</v>
      </c>
      <c r="AA105" s="161">
        <f t="shared" si="34"/>
        <v>9.4974055574628284</v>
      </c>
      <c r="AB105" s="157">
        <v>9.9895702962035866</v>
      </c>
      <c r="AC105" s="161">
        <f t="shared" si="35"/>
        <v>9.5636835225869543</v>
      </c>
    </row>
    <row r="106" spans="1:29" ht="15.75" customHeight="1" x14ac:dyDescent="0.25">
      <c r="A106" s="159">
        <f t="shared" si="32"/>
        <v>6</v>
      </c>
      <c r="B106" s="4" t="s">
        <v>162</v>
      </c>
      <c r="C106" s="1">
        <v>17.498000000000001</v>
      </c>
      <c r="D106" s="15"/>
      <c r="E106" s="160">
        <f t="shared" si="27"/>
        <v>17.498000000000001</v>
      </c>
      <c r="F106" s="7">
        <v>4.4200000000000003E-2</v>
      </c>
      <c r="G106" s="160">
        <f t="shared" si="28"/>
        <v>18.307177233730908</v>
      </c>
      <c r="H106" s="2"/>
      <c r="I106" s="2"/>
      <c r="J106" s="1">
        <v>0</v>
      </c>
      <c r="K106" s="160">
        <f t="shared" si="29"/>
        <v>18.307177233730908</v>
      </c>
      <c r="L106" s="166"/>
      <c r="M106" s="166"/>
      <c r="N106" s="166"/>
      <c r="O106" s="157">
        <v>13.179065321956122</v>
      </c>
      <c r="P106" s="161">
        <f t="shared" si="30"/>
        <v>-5.128111911774786</v>
      </c>
      <c r="Q106" s="161" t="e">
        <f>K106-#REF!</f>
        <v>#REF!</v>
      </c>
      <c r="R106" s="161"/>
      <c r="S106" s="161" t="e">
        <f>K106-#REF!</f>
        <v>#REF!</v>
      </c>
      <c r="W106" s="161"/>
      <c r="X106" s="157">
        <v>20.579590146967504</v>
      </c>
      <c r="Y106" s="161">
        <f t="shared" si="33"/>
        <v>-2.2724129132365967</v>
      </c>
      <c r="Z106" s="157">
        <v>25.335089567966282</v>
      </c>
      <c r="AA106" s="161">
        <f t="shared" si="34"/>
        <v>-7.0279123342353742</v>
      </c>
      <c r="AB106" s="157">
        <v>25.076136837713808</v>
      </c>
      <c r="AC106" s="161">
        <f t="shared" si="35"/>
        <v>-6.7689596039828999</v>
      </c>
    </row>
    <row r="107" spans="1:29" ht="17.25" customHeight="1" x14ac:dyDescent="0.25">
      <c r="A107" s="159">
        <f t="shared" si="32"/>
        <v>7</v>
      </c>
      <c r="B107" s="4" t="s">
        <v>104</v>
      </c>
      <c r="C107" s="1">
        <v>9.6929999999999996</v>
      </c>
      <c r="D107" s="1">
        <v>3.3530000000000002</v>
      </c>
      <c r="E107" s="160">
        <f t="shared" si="27"/>
        <v>13.045999999999999</v>
      </c>
      <c r="F107" s="7">
        <v>4.4200000000000003E-2</v>
      </c>
      <c r="G107" s="160">
        <f t="shared" si="28"/>
        <v>13.649299016530655</v>
      </c>
      <c r="H107" s="2"/>
      <c r="I107" s="5"/>
      <c r="J107" s="1">
        <v>0</v>
      </c>
      <c r="K107" s="160">
        <f t="shared" si="29"/>
        <v>13.649299016530655</v>
      </c>
      <c r="L107" s="166"/>
      <c r="M107" s="166"/>
      <c r="N107" s="166"/>
      <c r="O107" s="157">
        <v>8.4073525973385461</v>
      </c>
      <c r="P107" s="161">
        <f t="shared" si="30"/>
        <v>-5.241946419192109</v>
      </c>
      <c r="Q107" s="161">
        <f>K107-K108</f>
        <v>0.8139778196275369</v>
      </c>
      <c r="R107" s="161"/>
      <c r="S107" s="161">
        <f t="shared" si="31"/>
        <v>0.8139778196275369</v>
      </c>
      <c r="W107" s="161"/>
      <c r="X107" s="157">
        <v>12.037752115504038</v>
      </c>
      <c r="Y107" s="161">
        <f t="shared" si="33"/>
        <v>1.6115469010266175</v>
      </c>
      <c r="Z107" s="157">
        <v>37.541622760800848</v>
      </c>
      <c r="AA107" s="161">
        <f t="shared" si="34"/>
        <v>-23.892323744270193</v>
      </c>
      <c r="AB107" s="157">
        <v>37.157905715477682</v>
      </c>
      <c r="AC107" s="161">
        <f t="shared" si="35"/>
        <v>-23.508606698947027</v>
      </c>
    </row>
    <row r="108" spans="1:29" ht="17.25" customHeight="1" x14ac:dyDescent="0.25">
      <c r="A108" s="159">
        <f t="shared" si="32"/>
        <v>8</v>
      </c>
      <c r="B108" s="4" t="s">
        <v>178</v>
      </c>
      <c r="C108" s="1">
        <v>12.268000000000001</v>
      </c>
      <c r="D108" s="15"/>
      <c r="E108" s="160">
        <f t="shared" si="27"/>
        <v>12.268000000000001</v>
      </c>
      <c r="F108" s="7">
        <v>4.4200000000000003E-2</v>
      </c>
      <c r="G108" s="160">
        <f t="shared" si="28"/>
        <v>12.835321196903118</v>
      </c>
      <c r="H108" s="2"/>
      <c r="I108" s="2"/>
      <c r="J108" s="1">
        <v>0</v>
      </c>
      <c r="K108" s="160">
        <f t="shared" si="29"/>
        <v>12.835321196903118</v>
      </c>
      <c r="L108" s="166"/>
      <c r="M108" s="166"/>
      <c r="N108" s="166"/>
      <c r="O108" s="157">
        <v>12.735098670766787</v>
      </c>
      <c r="P108" s="161">
        <f t="shared" si="30"/>
        <v>-0.10022252613633142</v>
      </c>
      <c r="Q108" s="161" t="e">
        <f>K108-#REF!</f>
        <v>#REF!</v>
      </c>
      <c r="R108" s="161"/>
      <c r="S108" s="161" t="e">
        <f>K108-#REF!</f>
        <v>#REF!</v>
      </c>
      <c r="W108" s="161"/>
      <c r="X108" s="157">
        <v>16.28014499482509</v>
      </c>
      <c r="Y108" s="161">
        <f t="shared" si="33"/>
        <v>-3.4448237979219716</v>
      </c>
      <c r="Z108" s="157">
        <v>8.9756585879873558</v>
      </c>
      <c r="AA108" s="161">
        <f t="shared" si="34"/>
        <v>3.8596626089157624</v>
      </c>
      <c r="AB108" s="157">
        <v>9.3136003337505215</v>
      </c>
      <c r="AC108" s="161">
        <f t="shared" si="35"/>
        <v>3.5217208631525967</v>
      </c>
    </row>
    <row r="109" spans="1:29" ht="16.5" customHeight="1" x14ac:dyDescent="0.25">
      <c r="A109" s="159">
        <f t="shared" si="32"/>
        <v>9</v>
      </c>
      <c r="B109" s="4" t="s">
        <v>177</v>
      </c>
      <c r="C109" s="1">
        <v>11.683</v>
      </c>
      <c r="D109" s="1"/>
      <c r="E109" s="160">
        <f t="shared" si="27"/>
        <v>11.683</v>
      </c>
      <c r="F109" s="7">
        <v>4.4200000000000003E-2</v>
      </c>
      <c r="G109" s="160">
        <f t="shared" si="28"/>
        <v>12.223268466206319</v>
      </c>
      <c r="H109" s="2"/>
      <c r="I109" s="2"/>
      <c r="J109" s="1">
        <v>0</v>
      </c>
      <c r="K109" s="160">
        <f t="shared" si="29"/>
        <v>12.223268466206319</v>
      </c>
      <c r="L109" s="166"/>
      <c r="M109" s="166"/>
      <c r="N109" s="166"/>
      <c r="P109" s="161"/>
      <c r="Q109" s="161"/>
      <c r="R109" s="161"/>
      <c r="S109" s="161"/>
      <c r="W109" s="161"/>
      <c r="X109" s="157">
        <v>10.244576692196233</v>
      </c>
      <c r="Y109" s="161">
        <f t="shared" si="33"/>
        <v>1.9786917740100858</v>
      </c>
      <c r="Z109" s="157">
        <v>9.709167544783984</v>
      </c>
      <c r="AA109" s="161">
        <f t="shared" si="34"/>
        <v>2.5141009214223349</v>
      </c>
      <c r="AB109" s="157">
        <v>9.6725073007926561</v>
      </c>
      <c r="AC109" s="161">
        <f t="shared" si="35"/>
        <v>2.5507611654136628</v>
      </c>
    </row>
    <row r="110" spans="1:29" ht="16.5" customHeight="1" x14ac:dyDescent="0.25">
      <c r="A110" s="159">
        <f t="shared" si="32"/>
        <v>10</v>
      </c>
      <c r="B110" s="4" t="s">
        <v>156</v>
      </c>
      <c r="C110" s="1">
        <v>11.401999999999999</v>
      </c>
      <c r="D110" s="15"/>
      <c r="E110" s="160">
        <f t="shared" si="27"/>
        <v>11.401999999999999</v>
      </c>
      <c r="F110" s="7">
        <v>4.4200000000000003E-2</v>
      </c>
      <c r="G110" s="160">
        <f t="shared" si="28"/>
        <v>11.929273906675036</v>
      </c>
      <c r="H110" s="2"/>
      <c r="I110" s="2"/>
      <c r="J110" s="1">
        <v>0</v>
      </c>
      <c r="K110" s="160">
        <f t="shared" si="29"/>
        <v>11.929273906675036</v>
      </c>
      <c r="L110" s="166"/>
      <c r="M110" s="166"/>
      <c r="N110" s="166"/>
      <c r="P110" s="161"/>
      <c r="Q110" s="161"/>
      <c r="R110" s="161"/>
      <c r="S110" s="161"/>
      <c r="W110" s="161"/>
      <c r="X110" s="157">
        <v>12.615400538190851</v>
      </c>
      <c r="Y110" s="161">
        <f t="shared" si="33"/>
        <v>-0.68612663151581543</v>
      </c>
      <c r="Z110" s="157">
        <v>11.527924130663857</v>
      </c>
      <c r="AA110" s="161">
        <f t="shared" si="34"/>
        <v>0.40134977601117861</v>
      </c>
      <c r="AB110" s="157">
        <v>11.561326658322905</v>
      </c>
      <c r="AC110" s="161">
        <f t="shared" si="35"/>
        <v>0.36794724835213088</v>
      </c>
    </row>
    <row r="111" spans="1:29" ht="16.5" customHeight="1" x14ac:dyDescent="0.25">
      <c r="A111" s="159">
        <f t="shared" si="32"/>
        <v>11</v>
      </c>
      <c r="B111" s="4" t="s">
        <v>161</v>
      </c>
      <c r="C111" s="1">
        <v>11.266</v>
      </c>
      <c r="D111" s="15"/>
      <c r="E111" s="160">
        <f t="shared" si="27"/>
        <v>11.266</v>
      </c>
      <c r="F111" s="7">
        <v>4.4200000000000003E-2</v>
      </c>
      <c r="G111" s="160">
        <f t="shared" si="28"/>
        <v>11.786984724837833</v>
      </c>
      <c r="H111" s="2"/>
      <c r="I111" s="2"/>
      <c r="J111" s="1">
        <v>0</v>
      </c>
      <c r="K111" s="160">
        <f t="shared" si="29"/>
        <v>11.786984724837833</v>
      </c>
      <c r="L111" s="166"/>
      <c r="M111" s="166"/>
      <c r="N111" s="166"/>
      <c r="P111" s="161"/>
      <c r="Q111" s="161"/>
      <c r="R111" s="161"/>
      <c r="S111" s="161"/>
      <c r="W111" s="161"/>
      <c r="X111" s="157">
        <v>18.141171600082799</v>
      </c>
      <c r="Y111" s="161">
        <f t="shared" si="33"/>
        <v>-6.3541868752449666</v>
      </c>
      <c r="Z111" s="157">
        <v>18.443624868282402</v>
      </c>
      <c r="AA111" s="161">
        <f t="shared" si="34"/>
        <v>-6.6566401434445694</v>
      </c>
      <c r="AB111" s="157">
        <v>18.249895702962036</v>
      </c>
      <c r="AC111" s="161">
        <f t="shared" si="35"/>
        <v>-6.4629109781242029</v>
      </c>
    </row>
    <row r="112" spans="1:29" ht="16.5" customHeight="1" x14ac:dyDescent="0.25">
      <c r="A112" s="159">
        <f t="shared" si="32"/>
        <v>12</v>
      </c>
      <c r="B112" s="4" t="s">
        <v>159</v>
      </c>
      <c r="C112" s="1">
        <v>10.859</v>
      </c>
      <c r="D112" s="1"/>
      <c r="E112" s="160">
        <f t="shared" si="27"/>
        <v>10.859</v>
      </c>
      <c r="F112" s="7">
        <v>4.4200000000000003E-2</v>
      </c>
      <c r="G112" s="160">
        <f t="shared" si="28"/>
        <v>11.361163423310316</v>
      </c>
      <c r="H112" s="2"/>
      <c r="I112" s="2"/>
      <c r="J112" s="1">
        <v>0</v>
      </c>
      <c r="K112" s="160">
        <f t="shared" si="29"/>
        <v>11.361163423310316</v>
      </c>
      <c r="L112" s="166"/>
      <c r="M112" s="166"/>
      <c r="N112" s="166"/>
      <c r="P112" s="161"/>
      <c r="Q112" s="161"/>
      <c r="R112" s="161"/>
      <c r="S112" s="161"/>
      <c r="W112" s="161"/>
      <c r="X112" s="157">
        <v>19.278617263506522</v>
      </c>
      <c r="Y112" s="161">
        <f t="shared" si="33"/>
        <v>-7.917453840196206</v>
      </c>
      <c r="Z112" s="157">
        <v>19.634351949420441</v>
      </c>
      <c r="AA112" s="161">
        <f t="shared" si="34"/>
        <v>-8.2731885261101255</v>
      </c>
      <c r="AB112" s="157">
        <v>19.35857321652065</v>
      </c>
      <c r="AC112" s="161">
        <f t="shared" si="35"/>
        <v>-7.9974097932103341</v>
      </c>
    </row>
    <row r="113" spans="1:29" ht="16.5" customHeight="1" x14ac:dyDescent="0.25">
      <c r="A113" s="159">
        <f t="shared" si="32"/>
        <v>13</v>
      </c>
      <c r="B113" s="4" t="s">
        <v>105</v>
      </c>
      <c r="C113" s="1">
        <v>9.5779999999999994</v>
      </c>
      <c r="D113" s="1"/>
      <c r="E113" s="160">
        <f t="shared" si="27"/>
        <v>9.5779999999999994</v>
      </c>
      <c r="F113" s="7">
        <v>4.4200000000000003E-2</v>
      </c>
      <c r="G113" s="160">
        <f t="shared" si="28"/>
        <v>10.020924879681941</v>
      </c>
      <c r="H113" s="2"/>
      <c r="I113" s="5"/>
      <c r="J113" s="1">
        <v>0</v>
      </c>
      <c r="K113" s="160">
        <f t="shared" si="29"/>
        <v>10.020924879681941</v>
      </c>
      <c r="L113" s="166"/>
      <c r="M113" s="166"/>
      <c r="N113" s="166"/>
      <c r="P113" s="161"/>
      <c r="Q113" s="161"/>
      <c r="R113" s="161"/>
      <c r="S113" s="161"/>
      <c r="W113" s="161"/>
      <c r="X113" s="157">
        <v>12.961084661560754</v>
      </c>
      <c r="Y113" s="161">
        <f t="shared" si="33"/>
        <v>-2.9401597818788137</v>
      </c>
      <c r="Z113" s="157">
        <v>11.671232876712329</v>
      </c>
      <c r="AA113" s="161">
        <f t="shared" si="34"/>
        <v>-1.6503079970303887</v>
      </c>
      <c r="AB113" s="157">
        <v>11.697955778055903</v>
      </c>
      <c r="AC113" s="161">
        <f t="shared" si="35"/>
        <v>-1.6770308983739621</v>
      </c>
    </row>
    <row r="114" spans="1:29" ht="16.5" customHeight="1" x14ac:dyDescent="0.25">
      <c r="A114" s="159">
        <f t="shared" si="32"/>
        <v>14</v>
      </c>
      <c r="B114" s="4" t="s">
        <v>242</v>
      </c>
      <c r="C114" s="1">
        <v>9.1890000000000001</v>
      </c>
      <c r="D114" s="15"/>
      <c r="E114" s="160">
        <f t="shared" si="27"/>
        <v>9.1890000000000001</v>
      </c>
      <c r="F114" s="7">
        <v>4.4200000000000003E-2</v>
      </c>
      <c r="G114" s="160">
        <f t="shared" si="28"/>
        <v>9.613935969868173</v>
      </c>
      <c r="H114" s="2"/>
      <c r="I114" s="2"/>
      <c r="J114" s="1">
        <v>0</v>
      </c>
      <c r="K114" s="160">
        <f t="shared" si="29"/>
        <v>9.613935969868173</v>
      </c>
      <c r="L114" s="166"/>
      <c r="M114" s="166"/>
      <c r="N114" s="166"/>
      <c r="P114" s="161"/>
      <c r="Q114" s="161"/>
      <c r="R114" s="161"/>
      <c r="S114" s="161"/>
      <c r="W114" s="161"/>
      <c r="X114" s="157">
        <v>12.155868350238046</v>
      </c>
      <c r="Y114" s="161">
        <f t="shared" si="33"/>
        <v>-2.5419323803698735</v>
      </c>
      <c r="Z114" s="157">
        <v>10.260273972602739</v>
      </c>
      <c r="AA114" s="161">
        <f t="shared" si="34"/>
        <v>-0.64633800273456643</v>
      </c>
      <c r="AB114" s="157">
        <v>9.9301209845640397</v>
      </c>
      <c r="AC114" s="161">
        <f t="shared" si="35"/>
        <v>-0.31618501469586668</v>
      </c>
    </row>
    <row r="115" spans="1:29" ht="16.5" customHeight="1" x14ac:dyDescent="0.25">
      <c r="A115" s="159">
        <f t="shared" si="32"/>
        <v>15</v>
      </c>
      <c r="B115" s="4" t="s">
        <v>182</v>
      </c>
      <c r="C115" s="1">
        <v>8.9540000000000006</v>
      </c>
      <c r="D115" s="1"/>
      <c r="E115" s="160">
        <f t="shared" si="27"/>
        <v>8.9540000000000006</v>
      </c>
      <c r="F115" s="7">
        <v>4.4200000000000003E-2</v>
      </c>
      <c r="G115" s="160">
        <f t="shared" si="28"/>
        <v>9.3680686336053576</v>
      </c>
      <c r="H115" s="2"/>
      <c r="I115" s="5"/>
      <c r="J115" s="1">
        <v>0</v>
      </c>
      <c r="K115" s="160">
        <f t="shared" si="29"/>
        <v>9.3680686336053576</v>
      </c>
      <c r="L115" s="166"/>
      <c r="M115" s="166"/>
      <c r="N115" s="166"/>
      <c r="P115" s="161"/>
      <c r="Q115" s="161"/>
      <c r="R115" s="161"/>
      <c r="S115" s="161"/>
      <c r="W115" s="161"/>
      <c r="X115" s="157">
        <v>24.717449803353347</v>
      </c>
      <c r="Y115" s="161">
        <f t="shared" si="33"/>
        <v>-15.349381169747989</v>
      </c>
      <c r="Z115" s="157">
        <v>25.160168598524763</v>
      </c>
      <c r="AA115" s="161">
        <f t="shared" si="34"/>
        <v>-15.792099964919405</v>
      </c>
      <c r="AB115" s="157">
        <v>24.899874843554443</v>
      </c>
      <c r="AC115" s="161">
        <f t="shared" si="35"/>
        <v>-15.531806209949085</v>
      </c>
    </row>
    <row r="116" spans="1:29" ht="16.5" customHeight="1" x14ac:dyDescent="0.25">
      <c r="A116" s="159">
        <f t="shared" si="32"/>
        <v>16</v>
      </c>
      <c r="B116" s="4" t="s">
        <v>181</v>
      </c>
      <c r="C116" s="1">
        <v>8.9149999999999991</v>
      </c>
      <c r="D116" s="1"/>
      <c r="E116" s="160">
        <f t="shared" si="27"/>
        <v>8.9149999999999991</v>
      </c>
      <c r="F116" s="7">
        <v>4.4200000000000003E-2</v>
      </c>
      <c r="G116" s="160">
        <f t="shared" si="28"/>
        <v>9.3272651182255704</v>
      </c>
      <c r="H116" s="2"/>
      <c r="I116" s="5"/>
      <c r="J116" s="1">
        <v>0</v>
      </c>
      <c r="K116" s="160">
        <f t="shared" si="29"/>
        <v>9.3272651182255704</v>
      </c>
      <c r="L116" s="166"/>
      <c r="M116" s="166"/>
      <c r="N116" s="166"/>
      <c r="P116" s="161"/>
      <c r="Q116" s="161"/>
      <c r="R116" s="161"/>
      <c r="S116" s="161"/>
      <c r="W116" s="161"/>
      <c r="X116" s="157">
        <v>11.697371144690541</v>
      </c>
      <c r="Y116" s="161">
        <f t="shared" si="33"/>
        <v>-2.3701060264649705</v>
      </c>
      <c r="Z116" s="157">
        <v>11.181243414120127</v>
      </c>
      <c r="AA116" s="161">
        <f t="shared" si="34"/>
        <v>-1.8539782958945565</v>
      </c>
      <c r="AB116" s="157">
        <v>11.127450980392158</v>
      </c>
      <c r="AC116" s="161">
        <f t="shared" si="35"/>
        <v>-1.8001858621665878</v>
      </c>
    </row>
    <row r="117" spans="1:29" ht="16.5" customHeight="1" x14ac:dyDescent="0.25">
      <c r="A117" s="159">
        <f t="shared" si="32"/>
        <v>17</v>
      </c>
      <c r="B117" s="4" t="s">
        <v>15</v>
      </c>
      <c r="C117" s="1">
        <v>7.2430000000000003</v>
      </c>
      <c r="D117" s="1"/>
      <c r="E117" s="160">
        <f t="shared" si="27"/>
        <v>7.2430000000000003</v>
      </c>
      <c r="F117" s="7">
        <v>4.4200000000000003E-2</v>
      </c>
      <c r="G117" s="160">
        <f t="shared" si="28"/>
        <v>7.5779451768152342</v>
      </c>
      <c r="H117" s="2">
        <v>0.1</v>
      </c>
      <c r="I117" s="5"/>
      <c r="J117" s="1">
        <v>0</v>
      </c>
      <c r="K117" s="160">
        <f t="shared" si="29"/>
        <v>7.6779451768152338</v>
      </c>
      <c r="L117" s="166"/>
      <c r="M117" s="166"/>
      <c r="N117" s="166"/>
      <c r="P117" s="161"/>
      <c r="Q117" s="161"/>
      <c r="R117" s="161"/>
      <c r="S117" s="161"/>
      <c r="W117" s="161"/>
      <c r="Y117" s="161"/>
      <c r="Z117" s="157">
        <v>9.5173867228661759</v>
      </c>
      <c r="AA117" s="161">
        <f t="shared" si="34"/>
        <v>-1.8394415460509421</v>
      </c>
      <c r="AB117" s="157">
        <v>9.4858156028368796</v>
      </c>
      <c r="AC117" s="161">
        <f t="shared" si="35"/>
        <v>-1.8078704260216458</v>
      </c>
    </row>
    <row r="118" spans="1:29" ht="8.25" customHeight="1" x14ac:dyDescent="0.25">
      <c r="A118" s="168"/>
      <c r="B118" s="176"/>
      <c r="C118" s="162"/>
      <c r="D118" s="162"/>
      <c r="E118" s="162"/>
      <c r="F118" s="163"/>
      <c r="G118" s="162"/>
      <c r="H118" s="87"/>
      <c r="I118" s="87"/>
      <c r="J118" s="162"/>
      <c r="K118" s="162"/>
      <c r="L118" s="87"/>
      <c r="M118" s="87"/>
    </row>
    <row r="119" spans="1:29" ht="26.25" customHeight="1" x14ac:dyDescent="0.25">
      <c r="A119" s="169">
        <v>1</v>
      </c>
      <c r="B119" s="247" t="str">
        <f>'TOTAL MOD working excl biomass'!B209</f>
        <v>ECR of ISP and OSP is calculated by taking the individual rates in the ratio of 25:11 respectively whereas power purchase per unit cost for ISP is Rs 3.18 &amp; for OSP is Rs.4.50 including fixed charges.</v>
      </c>
      <c r="C119" s="247"/>
      <c r="D119" s="247"/>
      <c r="E119" s="247"/>
      <c r="F119" s="247"/>
      <c r="G119" s="247"/>
      <c r="H119" s="247"/>
      <c r="I119" s="247"/>
      <c r="J119" s="247"/>
      <c r="K119" s="247"/>
      <c r="L119" s="247"/>
      <c r="M119" s="247"/>
      <c r="N119" s="247"/>
    </row>
    <row r="120" spans="1:29" ht="14.25" customHeight="1" x14ac:dyDescent="0.25">
      <c r="A120" s="170">
        <v>2</v>
      </c>
      <c r="B120" s="247" t="str">
        <f>'TOTAL MOD working excl biomass'!B210</f>
        <v>FCA  is shown on the basis of latest FCA rate available as per bills</v>
      </c>
      <c r="C120" s="247"/>
      <c r="D120" s="247"/>
      <c r="E120" s="247"/>
      <c r="F120" s="247"/>
      <c r="G120" s="247"/>
      <c r="H120" s="247"/>
      <c r="I120" s="247"/>
      <c r="J120" s="247"/>
      <c r="K120" s="247"/>
      <c r="L120" s="247"/>
      <c r="M120" s="247"/>
      <c r="N120" s="247"/>
    </row>
    <row r="121" spans="1:29" ht="15.75" customHeight="1" x14ac:dyDescent="0.25">
      <c r="A121" s="169">
        <v>3</v>
      </c>
      <c r="B121" s="247" t="str">
        <f>'TOTAL MOD working excl biomass'!B211:O211</f>
        <v>Transmission losses have been taken as given in NLDC website.</v>
      </c>
      <c r="C121" s="247"/>
      <c r="D121" s="247"/>
      <c r="E121" s="247"/>
      <c r="F121" s="247"/>
      <c r="G121" s="247"/>
      <c r="H121" s="247"/>
      <c r="I121" s="247"/>
      <c r="J121" s="247"/>
      <c r="K121" s="247"/>
      <c r="L121" s="247"/>
      <c r="M121" s="247"/>
      <c r="N121" s="247"/>
    </row>
    <row r="122" spans="1:29" ht="15" customHeight="1" x14ac:dyDescent="0.25">
      <c r="A122" s="170">
        <v>4</v>
      </c>
      <c r="B122" s="247" t="str">
        <f>'TOTAL MOD working excl biomass'!B212</f>
        <v>DVC is supplying power under STOA arrangement  DSTPS till litigation is finalised and PPA of CTPS has been terminated w.e.f. 2/11/2021</v>
      </c>
      <c r="C122" s="247"/>
      <c r="D122" s="247"/>
      <c r="E122" s="247"/>
      <c r="F122" s="247"/>
      <c r="G122" s="247"/>
      <c r="H122" s="247"/>
      <c r="I122" s="247"/>
      <c r="J122" s="247"/>
      <c r="K122" s="247"/>
      <c r="L122" s="247"/>
      <c r="M122" s="247"/>
      <c r="N122" s="247"/>
    </row>
    <row r="123" spans="1:29" ht="16.5" customHeight="1" x14ac:dyDescent="0.25">
      <c r="A123" s="169">
        <v>5</v>
      </c>
      <c r="B123" s="247" t="s">
        <v>281</v>
      </c>
      <c r="C123" s="247"/>
      <c r="D123" s="247"/>
      <c r="E123" s="247"/>
      <c r="F123" s="247"/>
      <c r="G123" s="247"/>
      <c r="H123" s="247"/>
      <c r="I123" s="247"/>
      <c r="J123" s="247"/>
      <c r="K123" s="247"/>
      <c r="L123" s="247"/>
      <c r="M123" s="247"/>
      <c r="N123" s="231"/>
    </row>
    <row r="124" spans="1:29" ht="18" customHeight="1" x14ac:dyDescent="0.25">
      <c r="A124" s="170">
        <v>6</v>
      </c>
      <c r="B124" s="247" t="str">
        <f>'TOTAL MOD working excl biomass'!B220:O220</f>
        <v xml:space="preserve">156 MW from NTPC Mouda I and 212 MW from NTPC Mouda II has been reallocated to MPPMCL w.e.f. 31.03.2026 </v>
      </c>
      <c r="C124" s="247"/>
      <c r="D124" s="247"/>
      <c r="E124" s="247"/>
      <c r="F124" s="247"/>
      <c r="G124" s="247"/>
      <c r="H124" s="247"/>
      <c r="I124" s="247"/>
      <c r="J124" s="247"/>
      <c r="K124" s="247"/>
      <c r="L124" s="247"/>
      <c r="M124" s="247"/>
    </row>
    <row r="125" spans="1:29" hidden="1" x14ac:dyDescent="0.25">
      <c r="A125" s="170">
        <v>7</v>
      </c>
      <c r="B125" s="247" t="str">
        <f>'TOTAL MOD working excl biomass'!B222:O222</f>
        <v>M/s Torrent vide its letter no. 060 dated 06.01.2026 has coveyed its ECR for Jan 2026 as Rs. 8.423 per unit and the same has been considered for the purpose of MOD .</v>
      </c>
      <c r="C125" s="247"/>
      <c r="D125" s="247"/>
      <c r="E125" s="247"/>
      <c r="F125" s="247"/>
      <c r="G125" s="247"/>
      <c r="H125" s="247"/>
      <c r="I125" s="247"/>
      <c r="J125" s="247"/>
      <c r="K125" s="247"/>
      <c r="L125" s="247"/>
      <c r="M125" s="247"/>
    </row>
    <row r="126" spans="1:29" x14ac:dyDescent="0.25">
      <c r="A126" s="170">
        <v>7</v>
      </c>
      <c r="B126" s="247" t="str">
        <f>'TOTAL MOD working excl biomass'!B221</f>
        <v>As  bill of the current month is not received from JP Bina till the date of MOD, for the purpose of MOD latest available rate is considered.</v>
      </c>
      <c r="C126" s="247"/>
      <c r="D126" s="247"/>
      <c r="E126" s="247"/>
      <c r="F126" s="247"/>
      <c r="G126" s="247"/>
      <c r="H126" s="247"/>
      <c r="I126" s="247"/>
      <c r="J126" s="247"/>
      <c r="K126" s="247"/>
      <c r="L126" s="247"/>
      <c r="M126" s="247"/>
    </row>
  </sheetData>
  <sheetProtection selectLockedCells="1"/>
  <autoFilter ref="A5:N61"/>
  <sortState ref="B101:K117">
    <sortCondition descending="1" ref="K101:K117"/>
  </sortState>
  <mergeCells count="46">
    <mergeCell ref="A1:N1"/>
    <mergeCell ref="A2:A4"/>
    <mergeCell ref="B2:B4"/>
    <mergeCell ref="C2:C4"/>
    <mergeCell ref="D2:D4"/>
    <mergeCell ref="E2:E4"/>
    <mergeCell ref="G2:G3"/>
    <mergeCell ref="H2:H4"/>
    <mergeCell ref="J2:J4"/>
    <mergeCell ref="L2:L4"/>
    <mergeCell ref="N2:N4"/>
    <mergeCell ref="M2:M4"/>
    <mergeCell ref="F2:F4"/>
    <mergeCell ref="K2:K4"/>
    <mergeCell ref="I2:I4"/>
    <mergeCell ref="A96:K96"/>
    <mergeCell ref="B97:B99"/>
    <mergeCell ref="J97:J99"/>
    <mergeCell ref="C97:C99"/>
    <mergeCell ref="A63:J63"/>
    <mergeCell ref="D64:D66"/>
    <mergeCell ref="E64:E66"/>
    <mergeCell ref="C64:C66"/>
    <mergeCell ref="G64:G65"/>
    <mergeCell ref="A64:A66"/>
    <mergeCell ref="H64:H66"/>
    <mergeCell ref="J64:J66"/>
    <mergeCell ref="B64:B66"/>
    <mergeCell ref="F64:F66"/>
    <mergeCell ref="I64:I66"/>
    <mergeCell ref="I97:I99"/>
    <mergeCell ref="B126:M126"/>
    <mergeCell ref="A97:A99"/>
    <mergeCell ref="B122:N122"/>
    <mergeCell ref="B119:N119"/>
    <mergeCell ref="B121:N121"/>
    <mergeCell ref="B120:N120"/>
    <mergeCell ref="B123:M123"/>
    <mergeCell ref="E97:E99"/>
    <mergeCell ref="K97:K99"/>
    <mergeCell ref="H97:H99"/>
    <mergeCell ref="D97:D99"/>
    <mergeCell ref="F97:F99"/>
    <mergeCell ref="G97:G98"/>
    <mergeCell ref="B124:M124"/>
    <mergeCell ref="B125:M125"/>
  </mergeCells>
  <printOptions horizontalCentered="1"/>
  <pageMargins left="0.15748031496062992" right="0.11811023622047245" top="0.11811023622047245" bottom="0.15748031496062992" header="0" footer="0"/>
  <pageSetup paperSize="9" scale="69" orientation="portrait" r:id="rId1"/>
  <rowBreaks count="1" manualBreakCount="1">
    <brk id="62" max="1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FF0000"/>
  </sheetPr>
  <dimension ref="A1:I75"/>
  <sheetViews>
    <sheetView view="pageBreakPreview" zoomScaleSheetLayoutView="100" workbookViewId="0">
      <pane xSplit="1" ySplit="2" topLeftCell="B72" activePane="bottomRight" state="frozen"/>
      <selection activeCell="D20" sqref="D20"/>
      <selection pane="topRight" activeCell="D20" sqref="D20"/>
      <selection pane="bottomLeft" activeCell="D20" sqref="D20"/>
      <selection pane="bottomRight" activeCell="E70" sqref="E70"/>
    </sheetView>
  </sheetViews>
  <sheetFormatPr defaultColWidth="9.140625" defaultRowHeight="15" x14ac:dyDescent="0.25"/>
  <cols>
    <col min="1" max="1" width="7.85546875" style="51" customWidth="1"/>
    <col min="2" max="2" width="36.7109375" style="51" customWidth="1"/>
    <col min="3" max="3" width="12" style="51" customWidth="1"/>
    <col min="4" max="5" width="11.5703125" style="51" customWidth="1"/>
    <col min="6" max="6" width="12.42578125" style="55" customWidth="1"/>
    <col min="7" max="7" width="10.28515625" style="55" customWidth="1"/>
    <col min="8" max="8" width="11.5703125" style="55" customWidth="1"/>
    <col min="9" max="9" width="0" style="51" hidden="1" customWidth="1"/>
    <col min="10" max="16384" width="9.140625" style="51"/>
  </cols>
  <sheetData>
    <row r="1" spans="1:9" ht="15" customHeight="1" x14ac:dyDescent="0.25">
      <c r="A1" s="260" t="str">
        <f>'Excl URS 3 '!A1:N1</f>
        <v>Details of power purchase cost per unit of Thermal and Gas  Power  stations for MOD  for the month of March 2026</v>
      </c>
      <c r="B1" s="260"/>
      <c r="C1" s="260"/>
      <c r="D1" s="260"/>
      <c r="E1" s="260"/>
      <c r="F1" s="260"/>
      <c r="G1" s="260"/>
      <c r="H1" s="260"/>
    </row>
    <row r="2" spans="1:9" ht="51.75" customHeight="1" x14ac:dyDescent="0.25">
      <c r="A2" s="217" t="s">
        <v>0</v>
      </c>
      <c r="B2" s="217" t="s">
        <v>1</v>
      </c>
      <c r="C2" s="217" t="s">
        <v>63</v>
      </c>
      <c r="D2" s="217" t="s">
        <v>61</v>
      </c>
      <c r="E2" s="217" t="s">
        <v>261</v>
      </c>
      <c r="F2" s="217" t="s">
        <v>62</v>
      </c>
      <c r="G2" s="217" t="s">
        <v>69</v>
      </c>
      <c r="H2" s="217" t="s">
        <v>88</v>
      </c>
    </row>
    <row r="3" spans="1:9" x14ac:dyDescent="0.25">
      <c r="A3" s="11">
        <v>1</v>
      </c>
      <c r="B3" s="13" t="s">
        <v>16</v>
      </c>
      <c r="C3" s="52">
        <f>VLOOKUP(B3,'rate sheet working'!$B$3:$C$158,2,0)</f>
        <v>0</v>
      </c>
      <c r="D3" s="53">
        <f>VLOOKUP(B3,'rate sheet working'!$B$3:$D$158,3,0)</f>
        <v>0</v>
      </c>
      <c r="E3" s="45">
        <f t="shared" ref="E3:E34" si="0">D3+E4</f>
        <v>13028.413868799998</v>
      </c>
      <c r="F3" s="54">
        <f>VLOOKUP(B3,'rate sheet working'!$B$3:$E$158,4,0)</f>
        <v>0.85915096311475081</v>
      </c>
      <c r="G3" s="56">
        <f>VLOOKUP(B3,'rate sheet periphery 1'!$B$5:$F$110,5,0)</f>
        <v>37.274534421427077</v>
      </c>
      <c r="H3" s="56">
        <f t="shared" ref="H3:H34" si="1">F3+G3</f>
        <v>38.133685384541828</v>
      </c>
    </row>
    <row r="4" spans="1:9" x14ac:dyDescent="0.25">
      <c r="A4" s="11">
        <v>2</v>
      </c>
      <c r="B4" s="13" t="s">
        <v>17</v>
      </c>
      <c r="C4" s="52">
        <f>VLOOKUP(B4,'rate sheet working'!$B$3:$C$158,2,0)</f>
        <v>0</v>
      </c>
      <c r="D4" s="53">
        <f>VLOOKUP(B4,'rate sheet working'!$B$3:$D$158,3,0)</f>
        <v>0</v>
      </c>
      <c r="E4" s="45">
        <f t="shared" si="0"/>
        <v>13028.413868799998</v>
      </c>
      <c r="F4" s="54">
        <f>VLOOKUP(B4,'rate sheet working'!$B$3:$E$158,4,0)</f>
        <v>1.046590227201031</v>
      </c>
      <c r="G4" s="56">
        <f>VLOOKUP(B4,'rate sheet periphery 1'!$B$5:$F$110,5,0)</f>
        <v>31.092278719397363</v>
      </c>
      <c r="H4" s="56">
        <f t="shared" si="1"/>
        <v>32.138868946598393</v>
      </c>
      <c r="I4" s="144">
        <f>H4-H5</f>
        <v>6.1248738738372737</v>
      </c>
    </row>
    <row r="5" spans="1:9" x14ac:dyDescent="0.25">
      <c r="A5" s="11">
        <v>3</v>
      </c>
      <c r="B5" s="13" t="s">
        <v>128</v>
      </c>
      <c r="C5" s="52">
        <f>VLOOKUP(B5,'rate sheet working'!$B$3:$C$158,2,0)</f>
        <v>0</v>
      </c>
      <c r="D5" s="53">
        <f>VLOOKUP(B5,'rate sheet working'!$B$3:$D$158,3,0)</f>
        <v>0</v>
      </c>
      <c r="E5" s="45">
        <f t="shared" si="0"/>
        <v>13028.413868799998</v>
      </c>
      <c r="F5" s="54">
        <f>VLOOKUP(B5,'rate sheet working'!$B$3:$E$158,4,0)</f>
        <v>0.85915096311475081</v>
      </c>
      <c r="G5" s="56">
        <f>VLOOKUP(B5,'rate sheet periphery 1'!$B$5:$F$110,5,0)</f>
        <v>25.154844109646369</v>
      </c>
      <c r="H5" s="56">
        <f t="shared" si="1"/>
        <v>26.013995072761119</v>
      </c>
      <c r="I5" s="144">
        <f>H5-H6</f>
        <v>0.50635912255535587</v>
      </c>
    </row>
    <row r="6" spans="1:9" ht="16.5" customHeight="1" x14ac:dyDescent="0.25">
      <c r="A6" s="11">
        <v>4</v>
      </c>
      <c r="B6" s="13" t="s">
        <v>158</v>
      </c>
      <c r="C6" s="52">
        <f>VLOOKUP(B6,'rate sheet working'!$B$3:$C$158,2,0)</f>
        <v>0</v>
      </c>
      <c r="D6" s="53">
        <f>VLOOKUP(B6,'rate sheet working'!$B$3:$D$158,3,0)</f>
        <v>0</v>
      </c>
      <c r="E6" s="45">
        <f t="shared" si="0"/>
        <v>13028.413868799998</v>
      </c>
      <c r="F6" s="54">
        <f>VLOOKUP(B6,'rate sheet working'!$B$3:$E$158,4,0)</f>
        <v>0.52960707387180206</v>
      </c>
      <c r="G6" s="56">
        <f>VLOOKUP(B6,'rate sheet periphery 1'!$B$5:$F$110,5,0)</f>
        <v>24.978028876333962</v>
      </c>
      <c r="H6" s="56">
        <f t="shared" si="1"/>
        <v>25.507635950205763</v>
      </c>
      <c r="I6" s="144">
        <f>H6-H7</f>
        <v>5.319382131415221</v>
      </c>
    </row>
    <row r="7" spans="1:9" x14ac:dyDescent="0.25">
      <c r="A7" s="11">
        <v>5</v>
      </c>
      <c r="B7" s="13" t="s">
        <v>155</v>
      </c>
      <c r="C7" s="52">
        <f>VLOOKUP(B7,'rate sheet working'!$B$3:$C$158,2,0)</f>
        <v>0</v>
      </c>
      <c r="D7" s="53">
        <f>VLOOKUP(B7,'rate sheet working'!$B$3:$D$158,3,0)</f>
        <v>0</v>
      </c>
      <c r="E7" s="45">
        <f t="shared" si="0"/>
        <v>13028.413868799998</v>
      </c>
      <c r="F7" s="54">
        <f>VLOOKUP(B7,'rate sheet working'!$B$3:$E$158,4,0)</f>
        <v>0.63500000000000001</v>
      </c>
      <c r="G7" s="56">
        <f>VLOOKUP(B7,'rate sheet periphery 1'!$B$5:$F$110,5,0)</f>
        <v>19.553253818790541</v>
      </c>
      <c r="H7" s="56">
        <f t="shared" si="1"/>
        <v>20.188253818790542</v>
      </c>
    </row>
    <row r="8" spans="1:9" x14ac:dyDescent="0.25">
      <c r="A8" s="11">
        <v>6</v>
      </c>
      <c r="B8" s="13" t="s">
        <v>162</v>
      </c>
      <c r="C8" s="52">
        <f>VLOOKUP(B8,'rate sheet working'!$B$3:$C$158,2,0)</f>
        <v>0</v>
      </c>
      <c r="D8" s="53">
        <f>VLOOKUP(B8,'rate sheet working'!$B$3:$D$158,3,0)</f>
        <v>0</v>
      </c>
      <c r="E8" s="45">
        <f t="shared" si="0"/>
        <v>13028.413868799998</v>
      </c>
      <c r="F8" s="54">
        <f>VLOOKUP(B8,'rate sheet working'!$B$3:$E$158,4,0)</f>
        <v>0.70899999999999996</v>
      </c>
      <c r="G8" s="56">
        <f>VLOOKUP(B8,'rate sheet periphery 1'!$B$5:$F$110,5,0)</f>
        <v>18.307177233730908</v>
      </c>
      <c r="H8" s="56">
        <f t="shared" si="1"/>
        <v>19.016177233730907</v>
      </c>
    </row>
    <row r="9" spans="1:9" x14ac:dyDescent="0.25">
      <c r="A9" s="11">
        <v>7</v>
      </c>
      <c r="B9" s="13" t="s">
        <v>104</v>
      </c>
      <c r="C9" s="52">
        <f>VLOOKUP(B9,'rate sheet working'!$B$3:$C$158,2,0)</f>
        <v>0</v>
      </c>
      <c r="D9" s="53">
        <f>VLOOKUP(B9,'rate sheet working'!$B$3:$D$158,3,0)</f>
        <v>0</v>
      </c>
      <c r="E9" s="45">
        <f t="shared" si="0"/>
        <v>13028.413868799998</v>
      </c>
      <c r="F9" s="54">
        <f>VLOOKUP(B9,'rate sheet working'!$B$3:$E$158,4,0)</f>
        <v>1.046590227201031</v>
      </c>
      <c r="G9" s="56">
        <f>VLOOKUP(B9,'rate sheet periphery 1'!$B$5:$F$110,5,0)</f>
        <v>13.649299016530655</v>
      </c>
      <c r="H9" s="56">
        <f t="shared" si="1"/>
        <v>14.695889243731687</v>
      </c>
      <c r="I9" s="144">
        <f>H9-H10</f>
        <v>1.2255680468285686</v>
      </c>
    </row>
    <row r="10" spans="1:9" x14ac:dyDescent="0.25">
      <c r="A10" s="11">
        <v>8</v>
      </c>
      <c r="B10" s="13" t="s">
        <v>178</v>
      </c>
      <c r="C10" s="52">
        <f>VLOOKUP(B10,'rate sheet working'!$B$3:$C$158,2,0)</f>
        <v>0</v>
      </c>
      <c r="D10" s="53">
        <f>VLOOKUP(B10,'rate sheet working'!$B$3:$D$158,3,0)</f>
        <v>0</v>
      </c>
      <c r="E10" s="45">
        <f t="shared" si="0"/>
        <v>13028.413868799998</v>
      </c>
      <c r="F10" s="54">
        <f>VLOOKUP(B10,'rate sheet working'!$B$3:$E$158,4,0)</f>
        <v>0.63500000000000001</v>
      </c>
      <c r="G10" s="56">
        <f>VLOOKUP(B10,'rate sheet periphery 1'!$B$5:$F$110,5,0)</f>
        <v>12.835321196903118</v>
      </c>
      <c r="H10" s="56">
        <f t="shared" si="1"/>
        <v>13.470321196903118</v>
      </c>
      <c r="I10" s="144">
        <f>H10-H11</f>
        <v>0.71744565682499761</v>
      </c>
    </row>
    <row r="11" spans="1:9" x14ac:dyDescent="0.25">
      <c r="A11" s="11">
        <v>9</v>
      </c>
      <c r="B11" s="13" t="s">
        <v>177</v>
      </c>
      <c r="C11" s="52">
        <f>VLOOKUP(B11,'rate sheet working'!$B$3:$C$158,2,0)</f>
        <v>0</v>
      </c>
      <c r="D11" s="53">
        <f>VLOOKUP(B11,'rate sheet working'!$B$3:$D$158,3,0)</f>
        <v>0</v>
      </c>
      <c r="E11" s="45">
        <f t="shared" si="0"/>
        <v>13028.413868799998</v>
      </c>
      <c r="F11" s="54">
        <f>VLOOKUP(B11,'rate sheet working'!$B$3:$E$158,4,0)</f>
        <v>0.52960707387180206</v>
      </c>
      <c r="G11" s="56">
        <f>VLOOKUP(B11,'rate sheet periphery 1'!$B$5:$F$110,5,0)</f>
        <v>12.223268466206319</v>
      </c>
      <c r="H11" s="56">
        <f t="shared" si="1"/>
        <v>12.75287554007812</v>
      </c>
      <c r="I11" s="144" t="e">
        <f>H11-#REF!</f>
        <v>#REF!</v>
      </c>
    </row>
    <row r="12" spans="1:9" x14ac:dyDescent="0.25">
      <c r="A12" s="11">
        <v>10</v>
      </c>
      <c r="B12" s="13" t="s">
        <v>156</v>
      </c>
      <c r="C12" s="52">
        <f>VLOOKUP(B12,'rate sheet working'!$B$3:$C$158,2,0)</f>
        <v>0</v>
      </c>
      <c r="D12" s="53">
        <f>VLOOKUP(B12,'rate sheet working'!$B$3:$D$158,3,0)</f>
        <v>0</v>
      </c>
      <c r="E12" s="45">
        <f t="shared" si="0"/>
        <v>13028.413868799998</v>
      </c>
      <c r="F12" s="54">
        <f>VLOOKUP(B12,'rate sheet working'!$B$3:$E$158,4,0)</f>
        <v>0.63500000000000001</v>
      </c>
      <c r="G12" s="56">
        <f>VLOOKUP(B12,'rate sheet periphery 1'!$B$5:$F$110,5,0)</f>
        <v>11.929273906675036</v>
      </c>
      <c r="H12" s="56">
        <f t="shared" si="1"/>
        <v>12.564273906675036</v>
      </c>
    </row>
    <row r="13" spans="1:9" x14ac:dyDescent="0.25">
      <c r="A13" s="11">
        <v>11</v>
      </c>
      <c r="B13" s="13" t="s">
        <v>161</v>
      </c>
      <c r="C13" s="52">
        <f>VLOOKUP(B13,'rate sheet working'!$B$3:$C$158,2,0)</f>
        <v>0</v>
      </c>
      <c r="D13" s="53">
        <f>VLOOKUP(B13,'rate sheet working'!$B$3:$D$158,3,0)</f>
        <v>0</v>
      </c>
      <c r="E13" s="45">
        <f t="shared" si="0"/>
        <v>13028.413868799998</v>
      </c>
      <c r="F13" s="54">
        <f>VLOOKUP(B13,'rate sheet working'!$B$3:$E$158,4,0)</f>
        <v>0.70899999999999996</v>
      </c>
      <c r="G13" s="56">
        <f>VLOOKUP(B13,'rate sheet periphery 1'!$B$5:$F$110,5,0)</f>
        <v>11.786984724837833</v>
      </c>
      <c r="H13" s="56">
        <f t="shared" si="1"/>
        <v>12.495984724837832</v>
      </c>
      <c r="I13" s="144">
        <f>H13-H14</f>
        <v>0.60521422765571486</v>
      </c>
    </row>
    <row r="14" spans="1:9" x14ac:dyDescent="0.25">
      <c r="A14" s="11">
        <v>12</v>
      </c>
      <c r="B14" s="13" t="s">
        <v>159</v>
      </c>
      <c r="C14" s="52">
        <f>VLOOKUP(B14,'rate sheet working'!$B$3:$C$158,2,0)</f>
        <v>0</v>
      </c>
      <c r="D14" s="53">
        <f>VLOOKUP(B14,'rate sheet working'!$B$3:$D$158,3,0)</f>
        <v>0</v>
      </c>
      <c r="E14" s="45">
        <f t="shared" si="0"/>
        <v>13028.413868799998</v>
      </c>
      <c r="F14" s="54">
        <f>VLOOKUP(B14,'rate sheet working'!$B$3:$E$158,4,0)</f>
        <v>0.52960707387180206</v>
      </c>
      <c r="G14" s="56">
        <f>VLOOKUP(B14,'rate sheet periphery 1'!$B$5:$F$110,5,0)</f>
        <v>11.361163423310316</v>
      </c>
      <c r="H14" s="56">
        <f t="shared" si="1"/>
        <v>11.890770497182118</v>
      </c>
      <c r="I14" s="144">
        <f>H14-H15</f>
        <v>1.0106946543854267</v>
      </c>
    </row>
    <row r="15" spans="1:9" x14ac:dyDescent="0.25">
      <c r="A15" s="11">
        <v>13</v>
      </c>
      <c r="B15" s="13" t="s">
        <v>105</v>
      </c>
      <c r="C15" s="52">
        <f>VLOOKUP(B15,'rate sheet working'!$B$3:$C$158,2,0)</f>
        <v>0</v>
      </c>
      <c r="D15" s="53">
        <f>VLOOKUP(B15,'rate sheet working'!$B$3:$D$158,3,0)</f>
        <v>0</v>
      </c>
      <c r="E15" s="45">
        <f t="shared" si="0"/>
        <v>13028.413868799998</v>
      </c>
      <c r="F15" s="54">
        <f>VLOOKUP(B15,'rate sheet working'!$B$3:$E$158,4,0)</f>
        <v>0.85915096311475081</v>
      </c>
      <c r="G15" s="56">
        <f>VLOOKUP(B15,'rate sheet periphery 1'!$B$5:$F$110,5,0)</f>
        <v>10.020924879681941</v>
      </c>
      <c r="H15" s="56">
        <f t="shared" si="1"/>
        <v>10.880075842796691</v>
      </c>
      <c r="I15" s="144" t="e">
        <f>H15-#REF!</f>
        <v>#REF!</v>
      </c>
    </row>
    <row r="16" spans="1:9" x14ac:dyDescent="0.25">
      <c r="A16" s="11">
        <v>14</v>
      </c>
      <c r="B16" s="13" t="s">
        <v>181</v>
      </c>
      <c r="C16" s="52">
        <f>VLOOKUP(B16,'rate sheet working'!$B$3:$C$158,2,0)</f>
        <v>0</v>
      </c>
      <c r="D16" s="53">
        <f>VLOOKUP(B16,'rate sheet working'!$B$3:$D$158,3,0)</f>
        <v>0</v>
      </c>
      <c r="E16" s="45">
        <f t="shared" si="0"/>
        <v>13028.413868799998</v>
      </c>
      <c r="F16" s="54">
        <f>VLOOKUP(B16,'rate sheet working'!$B$3:$E$158,4,0)</f>
        <v>1.046590227201031</v>
      </c>
      <c r="G16" s="56">
        <f>VLOOKUP(B16,'rate sheet periphery 1'!$B$5:$F$110,5,0)</f>
        <v>9.3272651182255704</v>
      </c>
      <c r="H16" s="56">
        <f t="shared" si="1"/>
        <v>10.373855345426602</v>
      </c>
      <c r="I16" s="144">
        <f>H16-H17</f>
        <v>5.0919375558429181E-2</v>
      </c>
    </row>
    <row r="17" spans="1:9" x14ac:dyDescent="0.25">
      <c r="A17" s="11">
        <v>15</v>
      </c>
      <c r="B17" s="13" t="s">
        <v>242</v>
      </c>
      <c r="C17" s="52">
        <f>VLOOKUP(B17,'rate sheet working'!$B$3:$C$158,2,0)</f>
        <v>0</v>
      </c>
      <c r="D17" s="53">
        <f>VLOOKUP(B17,'rate sheet working'!$B$3:$D$158,3,0)</f>
        <v>0</v>
      </c>
      <c r="E17" s="45">
        <f t="shared" si="0"/>
        <v>13028.413868799998</v>
      </c>
      <c r="F17" s="54">
        <f>VLOOKUP(B17,'rate sheet working'!$B$3:$E$158,4,0)</f>
        <v>0.70899999999999996</v>
      </c>
      <c r="G17" s="56">
        <f>VLOOKUP(B17,'rate sheet periphery 1'!$B$5:$F$110,5,0)</f>
        <v>9.613935969868173</v>
      </c>
      <c r="H17" s="56">
        <f t="shared" si="1"/>
        <v>10.322935969868173</v>
      </c>
    </row>
    <row r="18" spans="1:9" x14ac:dyDescent="0.25">
      <c r="A18" s="11">
        <v>16</v>
      </c>
      <c r="B18" s="13" t="s">
        <v>182</v>
      </c>
      <c r="C18" s="52">
        <f>VLOOKUP(B18,'rate sheet working'!$B$3:$C$158,2,0)</f>
        <v>0</v>
      </c>
      <c r="D18" s="53">
        <f>VLOOKUP(B18,'rate sheet working'!$B$3:$D$158,3,0)</f>
        <v>0</v>
      </c>
      <c r="E18" s="45">
        <f t="shared" si="0"/>
        <v>13028.413868799998</v>
      </c>
      <c r="F18" s="54">
        <f>VLOOKUP(B18,'rate sheet working'!$B$3:$E$158,4,0)</f>
        <v>0.85915096311475081</v>
      </c>
      <c r="G18" s="56">
        <f>VLOOKUP(B18,'rate sheet periphery 1'!$B$5:$F$110,5,0)</f>
        <v>9.3680686336053576</v>
      </c>
      <c r="H18" s="56">
        <f t="shared" si="1"/>
        <v>10.227219596720108</v>
      </c>
      <c r="I18" s="144">
        <f t="shared" ref="I18:I19" si="2">H18-H19</f>
        <v>1.6546697914238067</v>
      </c>
    </row>
    <row r="19" spans="1:9" x14ac:dyDescent="0.25">
      <c r="A19" s="11">
        <v>17</v>
      </c>
      <c r="B19" s="13" t="s">
        <v>15</v>
      </c>
      <c r="C19" s="52">
        <f>VLOOKUP(B19,'rate sheet working'!$B$3:$C$158,2,0)</f>
        <v>1115.9438</v>
      </c>
      <c r="D19" s="53">
        <f>VLOOKUP(B19,'rate sheet working'!$B$3:$D$158,3,0)</f>
        <v>50</v>
      </c>
      <c r="E19" s="45">
        <f t="shared" si="0"/>
        <v>13028.413868799998</v>
      </c>
      <c r="F19" s="54">
        <f>VLOOKUP(B19,'rate sheet working'!$B$3:$E$158,4,0)</f>
        <v>0.89460462848106703</v>
      </c>
      <c r="G19" s="56">
        <f>VLOOKUP(B19,'rate sheet periphery 1'!$B$5:$F$110,5,0)</f>
        <v>7.6779451768152338</v>
      </c>
      <c r="H19" s="56">
        <f t="shared" si="1"/>
        <v>8.5725498052963012</v>
      </c>
      <c r="I19" s="144">
        <f t="shared" si="2"/>
        <v>1.6064572184382708</v>
      </c>
    </row>
    <row r="20" spans="1:9" x14ac:dyDescent="0.25">
      <c r="A20" s="11">
        <v>18</v>
      </c>
      <c r="B20" s="13" t="s">
        <v>295</v>
      </c>
      <c r="C20" s="52">
        <f>VLOOKUP(B20,'rate sheet working'!$B$3:$C$158,2,0)</f>
        <v>660</v>
      </c>
      <c r="D20" s="53">
        <f>VLOOKUP(B20,'rate sheet working'!$B$3:$D$158,3,0)</f>
        <v>1.0626</v>
      </c>
      <c r="E20" s="45">
        <f t="shared" si="0"/>
        <v>12978.413868799998</v>
      </c>
      <c r="F20" s="54">
        <f>VLOOKUP(B20,'rate sheet working'!$B$3:$E$158,4,0)</f>
        <v>3.3963081131187538</v>
      </c>
      <c r="G20" s="56">
        <f>VLOOKUP(B20,'rate sheet periphery 1'!$B$5:$F$110,5,0)</f>
        <v>3.5697844737392761</v>
      </c>
      <c r="H20" s="56">
        <f t="shared" si="1"/>
        <v>6.9660925868580303</v>
      </c>
      <c r="I20" s="144">
        <f>H20-H22</f>
        <v>0.75023665500998682</v>
      </c>
    </row>
    <row r="21" spans="1:9" x14ac:dyDescent="0.25">
      <c r="A21" s="11">
        <v>19</v>
      </c>
      <c r="B21" s="4" t="s">
        <v>117</v>
      </c>
      <c r="C21" s="52">
        <f>VLOOKUP(B21,'rate sheet working'!$B$3:$C$158,2,0)</f>
        <v>1320</v>
      </c>
      <c r="D21" s="53">
        <f>VLOOKUP(B21,'rate sheet working'!$B$3:$D$158,3,0)</f>
        <v>295.88</v>
      </c>
      <c r="E21" s="45">
        <f t="shared" si="0"/>
        <v>12977.351268799999</v>
      </c>
      <c r="F21" s="54">
        <f>VLOOKUP(B21,'rate sheet working'!$B$3:$E$158,4,0)</f>
        <v>1.9962858589939085</v>
      </c>
      <c r="G21" s="56">
        <f>VLOOKUP(B21,'rate sheet periphery 1'!$B$5:$F$110,5,0)</f>
        <v>4.241218664992676</v>
      </c>
      <c r="H21" s="56">
        <f t="shared" si="1"/>
        <v>6.2375045239865843</v>
      </c>
      <c r="I21" s="144">
        <f>H21-H23</f>
        <v>0.22978847460386742</v>
      </c>
    </row>
    <row r="22" spans="1:9" x14ac:dyDescent="0.25">
      <c r="A22" s="11">
        <v>20</v>
      </c>
      <c r="B22" s="4" t="s">
        <v>169</v>
      </c>
      <c r="C22" s="52">
        <f>VLOOKUP(B22,'rate sheet working'!$B$3:$C$158,2,0)</f>
        <v>1600</v>
      </c>
      <c r="D22" s="53">
        <f>VLOOKUP(B22,'rate sheet working'!$B$3:$D$158,3,0)</f>
        <v>800</v>
      </c>
      <c r="E22" s="45">
        <f t="shared" si="0"/>
        <v>12681.4712688</v>
      </c>
      <c r="F22" s="54">
        <f>VLOOKUP(B22,'rate sheet working'!$B$3:$E$158,4,0)</f>
        <v>2.0601461379581085</v>
      </c>
      <c r="G22" s="56">
        <f>VLOOKUP(B22,'rate sheet periphery 1'!$B$5:$F$110,5,0)</f>
        <v>4.155709793889935</v>
      </c>
      <c r="H22" s="56">
        <f t="shared" si="1"/>
        <v>6.2158559318480435</v>
      </c>
      <c r="I22" s="144"/>
    </row>
    <row r="23" spans="1:9" x14ac:dyDescent="0.25">
      <c r="A23" s="11">
        <v>21</v>
      </c>
      <c r="B23" s="4" t="s">
        <v>146</v>
      </c>
      <c r="C23" s="52">
        <f>VLOOKUP(B23,'rate sheet working'!$B$3:$C$158,2,0)</f>
        <v>1500</v>
      </c>
      <c r="D23" s="53">
        <f>VLOOKUP(B23,'rate sheet working'!$B$3:$D$158,3,0)</f>
        <v>1.7999999999999998</v>
      </c>
      <c r="E23" s="45">
        <f t="shared" si="0"/>
        <v>11881.4712688</v>
      </c>
      <c r="F23" s="54">
        <f>VLOOKUP(B23,'rate sheet working'!$B$3:$E$158,4,0)</f>
        <v>1.56</v>
      </c>
      <c r="G23" s="56">
        <f>VLOOKUP(B23,'rate sheet periphery 1'!$B$5:$F$110,5,0)</f>
        <v>4.4477160493827164</v>
      </c>
      <c r="H23" s="56">
        <f t="shared" si="1"/>
        <v>6.0077160493827169</v>
      </c>
      <c r="I23" s="144">
        <f>H23-H25</f>
        <v>0.34482158035499921</v>
      </c>
    </row>
    <row r="24" spans="1:9" x14ac:dyDescent="0.25">
      <c r="A24" s="11">
        <v>22</v>
      </c>
      <c r="B24" s="4" t="s">
        <v>279</v>
      </c>
      <c r="C24" s="52">
        <f>VLOOKUP(B24,'rate sheet working'!$B$3:$C$158,2,0)</f>
        <v>90</v>
      </c>
      <c r="D24" s="53">
        <f>VLOOKUP(B24,'rate sheet working'!$B$3:$D$158,3,0)</f>
        <v>27</v>
      </c>
      <c r="E24" s="45">
        <f t="shared" si="0"/>
        <v>11879.671268800001</v>
      </c>
      <c r="F24" s="54">
        <f>VLOOKUP(B24,'rate sheet working'!$B$3:$E$158,4,0)</f>
        <v>1.917718185460455</v>
      </c>
      <c r="G24" s="56">
        <f>VLOOKUP(B24,'rate sheet periphery 1'!$B$5:$F$110,5,0)</f>
        <v>3.9820099999999998</v>
      </c>
      <c r="H24" s="56">
        <f t="shared" si="1"/>
        <v>5.8997281854604546</v>
      </c>
      <c r="I24" s="144"/>
    </row>
    <row r="25" spans="1:9" x14ac:dyDescent="0.25">
      <c r="A25" s="11">
        <v>23</v>
      </c>
      <c r="B25" s="4" t="s">
        <v>175</v>
      </c>
      <c r="C25" s="52">
        <f>VLOOKUP(B25,'rate sheet working'!$B$3:$C$158,2,0)</f>
        <v>1320</v>
      </c>
      <c r="D25" s="53">
        <f>VLOOKUP(B25,'rate sheet working'!$B$3:$D$158,3,0)</f>
        <v>660</v>
      </c>
      <c r="E25" s="45">
        <f t="shared" si="0"/>
        <v>11852.671268800001</v>
      </c>
      <c r="F25" s="54">
        <f>VLOOKUP(B25,'rate sheet working'!$B$3:$E$158,4,0)</f>
        <v>2.0731460875671606</v>
      </c>
      <c r="G25" s="56">
        <f>VLOOKUP(B25,'rate sheet periphery 1'!$B$5:$F$110,5,0)</f>
        <v>3.5897483814605566</v>
      </c>
      <c r="H25" s="56">
        <f t="shared" si="1"/>
        <v>5.6628944690277176</v>
      </c>
    </row>
    <row r="26" spans="1:9" x14ac:dyDescent="0.25">
      <c r="A26" s="11">
        <v>24</v>
      </c>
      <c r="B26" s="4" t="s">
        <v>135</v>
      </c>
      <c r="C26" s="52">
        <f>VLOOKUP(B26,'rate sheet working'!$B$3:$C$158,2,0)</f>
        <v>420</v>
      </c>
      <c r="D26" s="53">
        <f>VLOOKUP(B26,'rate sheet working'!$B$3:$D$158,3,0)</f>
        <v>1.008</v>
      </c>
      <c r="E26" s="45">
        <f t="shared" si="0"/>
        <v>11192.671268800001</v>
      </c>
      <c r="F26" s="54">
        <f>VLOOKUP(B26,'rate sheet working'!$B$3:$E$158,4,0)</f>
        <v>1.1206832154238848</v>
      </c>
      <c r="G26" s="56">
        <f>VLOOKUP(B26,'rate sheet periphery 1'!$B$5:$F$110,5,0)</f>
        <v>4.4444967566436491</v>
      </c>
      <c r="H26" s="56">
        <f t="shared" si="1"/>
        <v>5.5651799720675337</v>
      </c>
    </row>
    <row r="27" spans="1:9" x14ac:dyDescent="0.25">
      <c r="A27" s="11">
        <v>25</v>
      </c>
      <c r="B27" s="4" t="s">
        <v>57</v>
      </c>
      <c r="C27" s="52">
        <f>VLOOKUP(B27,'rate sheet working'!$B$3:$C$158,2,0)</f>
        <v>500</v>
      </c>
      <c r="D27" s="53">
        <f>VLOOKUP(B27,'rate sheet working'!$B$3:$D$158,3,0)</f>
        <v>350</v>
      </c>
      <c r="E27" s="45">
        <f t="shared" si="0"/>
        <v>11191.663268800001</v>
      </c>
      <c r="F27" s="54">
        <f>VLOOKUP(B27,'rate sheet working'!$B$3:$E$158,4,0)</f>
        <v>1.9099997211250694</v>
      </c>
      <c r="G27" s="56">
        <f>VLOOKUP(B27,'rate sheet periphery 1'!$B$5:$F$110,5,0)</f>
        <v>3.59077</v>
      </c>
      <c r="H27" s="56">
        <f t="shared" si="1"/>
        <v>5.500769721125069</v>
      </c>
    </row>
    <row r="28" spans="1:9" ht="25.5" x14ac:dyDescent="0.25">
      <c r="A28" s="11">
        <v>26</v>
      </c>
      <c r="B28" s="13" t="s">
        <v>298</v>
      </c>
      <c r="C28" s="52">
        <f>VLOOKUP(B28,'rate sheet working'!$B$3:$C$158,2,0)</f>
        <v>720</v>
      </c>
      <c r="D28" s="53">
        <f>VLOOKUP(B28,'rate sheet working'!$B$3:$D$158,3,0)</f>
        <v>72.73</v>
      </c>
      <c r="E28" s="45">
        <f t="shared" si="0"/>
        <v>10841.663268800001</v>
      </c>
      <c r="F28" s="54">
        <f>VLOOKUP(B28,'rate sheet working'!$B$3:$E$158,4,0)</f>
        <v>2.7610000000000001</v>
      </c>
      <c r="G28" s="56">
        <f>VLOOKUP(B28,'rate sheet periphery 1'!$B$5:$F$110,5,0)</f>
        <v>2.6883239171374766</v>
      </c>
      <c r="H28" s="56">
        <f t="shared" si="1"/>
        <v>5.4493239171374768</v>
      </c>
    </row>
    <row r="29" spans="1:9" x14ac:dyDescent="0.25">
      <c r="A29" s="11">
        <v>27</v>
      </c>
      <c r="B29" s="13" t="s">
        <v>310</v>
      </c>
      <c r="C29" s="52">
        <f>VLOOKUP(B29,'rate sheet working'!$B$3:$C$158,2,0)</f>
        <v>2400</v>
      </c>
      <c r="D29" s="53">
        <f>VLOOKUP(B29,'rate sheet working'!$B$3:$D$158,3,0)</f>
        <v>72.73</v>
      </c>
      <c r="E29" s="45">
        <f t="shared" si="0"/>
        <v>10768.933268800001</v>
      </c>
      <c r="F29" s="54">
        <f>VLOOKUP(B29,'rate sheet working'!$B$3:$E$158,4,0)</f>
        <v>2.6</v>
      </c>
      <c r="G29" s="56">
        <f>VLOOKUP(B29,'rate sheet periphery 1'!$B$5:$F$110,5,0)</f>
        <v>2.7850261560996024</v>
      </c>
      <c r="H29" s="56">
        <f t="shared" si="1"/>
        <v>5.3850261560996024</v>
      </c>
      <c r="I29" s="144">
        <f>H29-H27</f>
        <v>-0.11574356502546657</v>
      </c>
    </row>
    <row r="30" spans="1:9" x14ac:dyDescent="0.25">
      <c r="A30" s="11">
        <v>28</v>
      </c>
      <c r="B30" s="13" t="s">
        <v>297</v>
      </c>
      <c r="C30" s="52">
        <f>VLOOKUP(B30,'rate sheet working'!$B$3:$C$158,2,0)</f>
        <v>720</v>
      </c>
      <c r="D30" s="53">
        <f>VLOOKUP(B30,'rate sheet working'!$B$3:$D$158,3,0)</f>
        <v>72.73</v>
      </c>
      <c r="E30" s="45">
        <f t="shared" si="0"/>
        <v>10696.203268800002</v>
      </c>
      <c r="F30" s="54">
        <f>VLOOKUP(B30,'rate sheet working'!$B$3:$E$158,4,0)</f>
        <v>2.7149999999999999</v>
      </c>
      <c r="G30" s="56">
        <f>VLOOKUP(B30,'rate sheet periphery 1'!$B$5:$F$110,5,0)</f>
        <v>2.6412429378531077</v>
      </c>
      <c r="H30" s="56">
        <f t="shared" si="1"/>
        <v>5.3562429378531071</v>
      </c>
      <c r="I30" s="144"/>
    </row>
    <row r="31" spans="1:9" x14ac:dyDescent="0.25">
      <c r="A31" s="11">
        <v>29</v>
      </c>
      <c r="B31" s="4" t="s">
        <v>168</v>
      </c>
      <c r="C31" s="52">
        <f>VLOOKUP(B31,'rate sheet working'!$B$3:$C$158,2,0)</f>
        <v>1320</v>
      </c>
      <c r="D31" s="53">
        <f>VLOOKUP(B31,'rate sheet working'!$B$3:$D$158,3,0)</f>
        <v>1.5839999999999999</v>
      </c>
      <c r="E31" s="45">
        <f t="shared" si="0"/>
        <v>10623.473268800002</v>
      </c>
      <c r="F31" s="54">
        <f>VLOOKUP(B31,'rate sheet working'!$B$3:$E$158,4,0)</f>
        <v>2.2494752521182821</v>
      </c>
      <c r="G31" s="56">
        <f>VLOOKUP(B31,'rate sheet periphery 1'!$B$5:$F$110,5,0)</f>
        <v>3.0937434609750998</v>
      </c>
      <c r="H31" s="56">
        <f t="shared" si="1"/>
        <v>5.3432187130933819</v>
      </c>
      <c r="I31" s="144"/>
    </row>
    <row r="32" spans="1:9" x14ac:dyDescent="0.25">
      <c r="A32" s="11">
        <v>30</v>
      </c>
      <c r="B32" s="13" t="s">
        <v>311</v>
      </c>
      <c r="C32" s="52">
        <f>VLOOKUP(B32,'rate sheet working'!$B$3:$C$158,2,0)</f>
        <v>600</v>
      </c>
      <c r="D32" s="53">
        <f>VLOOKUP(B32,'rate sheet working'!$B$3:$D$158,3,0)</f>
        <v>24.24</v>
      </c>
      <c r="E32" s="45">
        <f t="shared" si="0"/>
        <v>10621.889268800001</v>
      </c>
      <c r="F32" s="54">
        <f>VLOOKUP(B32,'rate sheet working'!$B$3:$E$158,4,0)</f>
        <v>2.16</v>
      </c>
      <c r="G32" s="56">
        <f>VLOOKUP(B32,'rate sheet periphery 1'!$B$5:$F$110,5,0)</f>
        <v>3.0498012136430215</v>
      </c>
      <c r="H32" s="56">
        <f t="shared" si="1"/>
        <v>5.2098012136430221</v>
      </c>
      <c r="I32" s="144"/>
    </row>
    <row r="33" spans="1:9" x14ac:dyDescent="0.25">
      <c r="A33" s="11">
        <v>31</v>
      </c>
      <c r="B33" s="4" t="s">
        <v>153</v>
      </c>
      <c r="C33" s="52">
        <f>VLOOKUP(B33,'rate sheet working'!$B$3:$C$158,2,0)</f>
        <v>500</v>
      </c>
      <c r="D33" s="53">
        <f>VLOOKUP(B33,'rate sheet working'!$B$3:$D$158,3,0)</f>
        <v>1.2</v>
      </c>
      <c r="E33" s="45">
        <f t="shared" si="0"/>
        <v>10597.649268800002</v>
      </c>
      <c r="F33" s="54">
        <f>VLOOKUP(B33,'rate sheet working'!$B$3:$E$158,4,0)</f>
        <v>1.6577600990616079</v>
      </c>
      <c r="G33" s="56">
        <f>VLOOKUP(B33,'rate sheet periphery 1'!$B$5:$F$110,5,0)</f>
        <v>3.5510387110274113</v>
      </c>
      <c r="H33" s="56">
        <f t="shared" si="1"/>
        <v>5.2087988100890197</v>
      </c>
      <c r="I33" s="144"/>
    </row>
    <row r="34" spans="1:9" x14ac:dyDescent="0.25">
      <c r="A34" s="11">
        <v>32</v>
      </c>
      <c r="B34" s="13" t="s">
        <v>296</v>
      </c>
      <c r="C34" s="52">
        <f>VLOOKUP(B34,'rate sheet working'!$B$3:$C$158,2,0)</f>
        <v>600</v>
      </c>
      <c r="D34" s="53">
        <f>VLOOKUP(B34,'rate sheet working'!$B$3:$D$158,3,0)</f>
        <v>24.24</v>
      </c>
      <c r="E34" s="45">
        <f t="shared" si="0"/>
        <v>10596.449268800001</v>
      </c>
      <c r="F34" s="54">
        <f>VLOOKUP(B34,'rate sheet working'!$B$3:$E$158,4,0)</f>
        <v>2.2530000000000001</v>
      </c>
      <c r="G34" s="56">
        <f>VLOOKUP(B34,'rate sheet periphery 1'!$B$5:$F$110,5,0)</f>
        <v>2.8834484201715838</v>
      </c>
      <c r="H34" s="56">
        <f t="shared" si="1"/>
        <v>5.1364484201715843</v>
      </c>
      <c r="I34" s="144"/>
    </row>
    <row r="35" spans="1:9" x14ac:dyDescent="0.25">
      <c r="A35" s="11">
        <v>33</v>
      </c>
      <c r="B35" s="13" t="s">
        <v>299</v>
      </c>
      <c r="C35" s="52">
        <f>VLOOKUP(B35,'rate sheet working'!$B$3:$C$158,2,0)</f>
        <v>1200</v>
      </c>
      <c r="D35" s="53">
        <f>VLOOKUP(B35,'rate sheet working'!$B$3:$D$158,3,0)</f>
        <v>48.48</v>
      </c>
      <c r="E35" s="45">
        <f t="shared" ref="E35:E66" si="3">D35+E36</f>
        <v>10572.209268800001</v>
      </c>
      <c r="F35" s="54">
        <f>VLOOKUP(B35,'rate sheet working'!$B$3:$E$158,4,0)</f>
        <v>2.57</v>
      </c>
      <c r="G35" s="56">
        <f>VLOOKUP(B35,'rate sheet periphery 1'!$B$5:$F$110,5,0)</f>
        <v>2.5476041012764177</v>
      </c>
      <c r="H35" s="56">
        <f t="shared" ref="H35:H66" si="4">F35+G35</f>
        <v>5.1176041012764175</v>
      </c>
      <c r="I35" s="144"/>
    </row>
    <row r="36" spans="1:9" x14ac:dyDescent="0.25">
      <c r="A36" s="11">
        <v>34</v>
      </c>
      <c r="B36" s="4" t="s">
        <v>245</v>
      </c>
      <c r="C36" s="52">
        <f>VLOOKUP(B36,'rate sheet working'!$B$3:$C$158,2,0)</f>
        <v>1320</v>
      </c>
      <c r="D36" s="53">
        <f>VLOOKUP(B36,'rate sheet working'!$B$3:$D$158,3,0)</f>
        <v>2.1120000000000001</v>
      </c>
      <c r="E36" s="45">
        <f t="shared" si="3"/>
        <v>10523.729268800002</v>
      </c>
      <c r="F36" s="54">
        <f>VLOOKUP(B36,'rate sheet working'!$B$3:$E$158,4,0)</f>
        <v>1.7669774010626034</v>
      </c>
      <c r="G36" s="56">
        <f>VLOOKUP(B36,'rate sheet periphery 1'!$B$5:$F$110,5,0)</f>
        <v>3.3453449696589246</v>
      </c>
      <c r="H36" s="56">
        <f t="shared" si="4"/>
        <v>5.112322370721528</v>
      </c>
      <c r="I36" s="144"/>
    </row>
    <row r="37" spans="1:9" x14ac:dyDescent="0.25">
      <c r="A37" s="11">
        <v>35</v>
      </c>
      <c r="B37" s="44" t="s">
        <v>18</v>
      </c>
      <c r="C37" s="52">
        <f>VLOOKUP(B37,'rate sheet working'!$B$3:$C$158,2,0)</f>
        <v>1000</v>
      </c>
      <c r="D37" s="53">
        <f>VLOOKUP(B37,'rate sheet working'!$B$3:$D$158,3,0)</f>
        <v>169.12</v>
      </c>
      <c r="E37" s="45">
        <f t="shared" si="3"/>
        <v>10521.617268800002</v>
      </c>
      <c r="F37" s="54">
        <f>VLOOKUP(B37,'rate sheet working'!$B$3:$E$158,4,0)</f>
        <v>1.6931572396408874</v>
      </c>
      <c r="G37" s="56">
        <f>VLOOKUP(B37,'rate sheet periphery 1'!$B$5:$F$110,5,0)</f>
        <v>3.3375183092697216</v>
      </c>
      <c r="H37" s="56">
        <f t="shared" si="4"/>
        <v>5.030675548910609</v>
      </c>
      <c r="I37" s="144">
        <f>H37-H28</f>
        <v>-0.4186483682268678</v>
      </c>
    </row>
    <row r="38" spans="1:9" x14ac:dyDescent="0.25">
      <c r="A38" s="11">
        <v>36</v>
      </c>
      <c r="B38" s="4" t="s">
        <v>70</v>
      </c>
      <c r="C38" s="52">
        <f>VLOOKUP(B38,'rate sheet working'!$B$3:$C$158,2,0)</f>
        <v>1200</v>
      </c>
      <c r="D38" s="53">
        <f>VLOOKUP(B38,'rate sheet working'!$B$3:$D$158,3,0)</f>
        <v>420</v>
      </c>
      <c r="E38" s="45">
        <f t="shared" si="3"/>
        <v>10352.497268800002</v>
      </c>
      <c r="F38" s="54">
        <f>VLOOKUP(B38,'rate sheet working'!$B$3:$E$158,4,0)</f>
        <v>1.6776554152863581</v>
      </c>
      <c r="G38" s="56">
        <f>VLOOKUP(B38,'rate sheet periphery 1'!$B$5:$F$110,5,0)</f>
        <v>3.3270909970705169</v>
      </c>
      <c r="H38" s="56">
        <f t="shared" si="4"/>
        <v>5.0047464123568748</v>
      </c>
      <c r="I38" s="175"/>
    </row>
    <row r="39" spans="1:9" x14ac:dyDescent="0.25">
      <c r="A39" s="11">
        <v>37</v>
      </c>
      <c r="B39" s="4" t="s">
        <v>188</v>
      </c>
      <c r="C39" s="52">
        <f>VLOOKUP(B39,'rate sheet working'!$B$3:$C$158,2,0)</f>
        <v>1000</v>
      </c>
      <c r="D39" s="53">
        <f>VLOOKUP(B39,'rate sheet working'!$B$3:$D$158,3,0)</f>
        <v>100</v>
      </c>
      <c r="E39" s="45">
        <f t="shared" si="3"/>
        <v>9932.4972688000016</v>
      </c>
      <c r="F39" s="54">
        <f>VLOOKUP(B39,'rate sheet working'!$B$3:$E$158,4,0)</f>
        <v>1.5060402359410392</v>
      </c>
      <c r="G39" s="56">
        <f>VLOOKUP(B39,'rate sheet periphery 1'!$B$5:$F$110,5,0)</f>
        <v>3.4702929483155471</v>
      </c>
      <c r="H39" s="56">
        <f t="shared" si="4"/>
        <v>4.9763331842565863</v>
      </c>
      <c r="I39" s="175"/>
    </row>
    <row r="40" spans="1:9" x14ac:dyDescent="0.25">
      <c r="A40" s="11">
        <v>38</v>
      </c>
      <c r="B40" s="44" t="s">
        <v>103</v>
      </c>
      <c r="C40" s="52">
        <f>VLOOKUP(B40,'rate sheet working'!$B$3:$C$158,2,0)</f>
        <v>1320</v>
      </c>
      <c r="D40" s="53">
        <f>VLOOKUP(B40,'rate sheet working'!$B$3:$D$158,3,0)</f>
        <v>235.04</v>
      </c>
      <c r="E40" s="45">
        <f t="shared" si="3"/>
        <v>9832.4972688000016</v>
      </c>
      <c r="F40" s="54">
        <f>VLOOKUP(B40,'rate sheet working'!$B$3:$E$158,4,0)</f>
        <v>1.5812064046246714</v>
      </c>
      <c r="G40" s="56">
        <f>VLOOKUP(B40,'rate sheet periphery 1'!$B$5:$F$110,5,0)</f>
        <v>3.332247122829044</v>
      </c>
      <c r="H40" s="56">
        <f t="shared" si="4"/>
        <v>4.913453527453715</v>
      </c>
      <c r="I40" s="144">
        <f>H40-H39</f>
        <v>-6.2879656802871331E-2</v>
      </c>
    </row>
    <row r="41" spans="1:9" x14ac:dyDescent="0.25">
      <c r="A41" s="11">
        <v>39</v>
      </c>
      <c r="B41" s="4" t="s">
        <v>133</v>
      </c>
      <c r="C41" s="52">
        <f>VLOOKUP(B41,'rate sheet working'!$B$3:$C$158,2,0)</f>
        <v>210</v>
      </c>
      <c r="D41" s="53">
        <f>VLOOKUP(B41,'rate sheet working'!$B$3:$D$158,3,0)</f>
        <v>0.48299999999999998</v>
      </c>
      <c r="E41" s="45">
        <f t="shared" si="3"/>
        <v>9597.4572688000007</v>
      </c>
      <c r="F41" s="54">
        <f>VLOOKUP(B41,'rate sheet working'!$B$3:$E$158,4,0)</f>
        <v>1.2090519383025429</v>
      </c>
      <c r="G41" s="56">
        <f>VLOOKUP(B41,'rate sheet periphery 1'!$B$5:$F$110,5,0)</f>
        <v>3.6889116970077427</v>
      </c>
      <c r="H41" s="56">
        <f t="shared" si="4"/>
        <v>4.8979636353102851</v>
      </c>
      <c r="I41" s="175"/>
    </row>
    <row r="42" spans="1:9" ht="25.5" x14ac:dyDescent="0.25">
      <c r="A42" s="11">
        <v>40</v>
      </c>
      <c r="B42" s="13" t="s">
        <v>150</v>
      </c>
      <c r="C42" s="52">
        <f>VLOOKUP(B42,'rate sheet working'!$B$3:$C$158,2,0)</f>
        <v>980</v>
      </c>
      <c r="D42" s="53">
        <f>VLOOKUP(B42,'rate sheet working'!$B$3:$D$158,3,0)</f>
        <v>2.0579999999999998</v>
      </c>
      <c r="E42" s="45">
        <f t="shared" si="3"/>
        <v>9596.9742688000006</v>
      </c>
      <c r="F42" s="54">
        <f>VLOOKUP(B42,'rate sheet working'!$B$3:$E$158,4,0)</f>
        <v>0.65153793249911163</v>
      </c>
      <c r="G42" s="56">
        <f>VLOOKUP(B42,'rate sheet periphery 1'!$B$5:$F$110,5,0)</f>
        <v>4.1246578782172003</v>
      </c>
      <c r="H42" s="56">
        <f t="shared" si="4"/>
        <v>4.7761958107163123</v>
      </c>
    </row>
    <row r="43" spans="1:9" x14ac:dyDescent="0.25">
      <c r="A43" s="11">
        <v>41</v>
      </c>
      <c r="B43" s="4" t="s">
        <v>134</v>
      </c>
      <c r="C43" s="52">
        <f>VLOOKUP(B43,'rate sheet working'!$B$3:$C$158,2,0)</f>
        <v>420</v>
      </c>
      <c r="D43" s="53">
        <f>VLOOKUP(B43,'rate sheet working'!$B$3:$D$158,3,0)</f>
        <v>0.33600000000000002</v>
      </c>
      <c r="E43" s="45">
        <f t="shared" si="3"/>
        <v>9594.9162687999997</v>
      </c>
      <c r="F43" s="54">
        <f>VLOOKUP(B43,'rate sheet working'!$B$3:$E$158,4,0)</f>
        <v>1.0459097583536401</v>
      </c>
      <c r="G43" s="56">
        <f>VLOOKUP(B43,'rate sheet periphery 1'!$B$5:$F$110,5,0)</f>
        <v>3.699235404896422</v>
      </c>
      <c r="H43" s="56">
        <f t="shared" si="4"/>
        <v>4.7451451632500623</v>
      </c>
      <c r="I43" s="144">
        <f>H43-H45</f>
        <v>0.16771132045626391</v>
      </c>
    </row>
    <row r="44" spans="1:9" x14ac:dyDescent="0.25">
      <c r="A44" s="11">
        <v>42</v>
      </c>
      <c r="B44" s="4" t="s">
        <v>98</v>
      </c>
      <c r="C44" s="52">
        <f>VLOOKUP(B44,'rate sheet working'!$B$3:$C$158,2,0)</f>
        <v>600</v>
      </c>
      <c r="D44" s="53">
        <f>VLOOKUP(B44,'rate sheet working'!$B$3:$D$158,3,0)</f>
        <v>180</v>
      </c>
      <c r="E44" s="45">
        <f t="shared" si="3"/>
        <v>9594.5802688000003</v>
      </c>
      <c r="F44" s="54">
        <f>VLOOKUP(B44,'rate sheet working'!$B$3:$E$158,4,0)</f>
        <v>1.7847333693842351</v>
      </c>
      <c r="G44" s="56">
        <f>VLOOKUP(B44,'rate sheet periphery 1'!$B$5:$F$110,5,0)</f>
        <v>2.8661540071144591</v>
      </c>
      <c r="H44" s="56">
        <f t="shared" si="4"/>
        <v>4.6508873764986944</v>
      </c>
      <c r="I44" s="144"/>
    </row>
    <row r="45" spans="1:9" x14ac:dyDescent="0.25">
      <c r="A45" s="11">
        <v>43</v>
      </c>
      <c r="B45" s="4" t="s">
        <v>60</v>
      </c>
      <c r="C45" s="52">
        <f>VLOOKUP(B45,'rate sheet working'!$B$3:$C$158,2,0)</f>
        <v>500</v>
      </c>
      <c r="D45" s="53">
        <f>VLOOKUP(B45,'rate sheet working'!$B$3:$D$158,3,0)</f>
        <v>500</v>
      </c>
      <c r="E45" s="45">
        <f t="shared" si="3"/>
        <v>9414.5802688000003</v>
      </c>
      <c r="F45" s="54">
        <f>VLOOKUP(B45,'rate sheet working'!$B$3:$E$158,4,0)</f>
        <v>1.7914338427937986</v>
      </c>
      <c r="G45" s="56">
        <f>VLOOKUP(B45,'rate sheet periphery 1'!$B$5:$F$110,5,0)</f>
        <v>2.786</v>
      </c>
      <c r="H45" s="56">
        <f t="shared" si="4"/>
        <v>4.5774338427937984</v>
      </c>
      <c r="I45" s="144">
        <f>H45-H46</f>
        <v>0.14748348735518313</v>
      </c>
    </row>
    <row r="46" spans="1:9" x14ac:dyDescent="0.25">
      <c r="A46" s="11">
        <v>44</v>
      </c>
      <c r="B46" s="4" t="s">
        <v>54</v>
      </c>
      <c r="C46" s="52">
        <f>VLOOKUP(B46,'rate sheet working'!$B$3:$C$158,2,0)</f>
        <v>1200</v>
      </c>
      <c r="D46" s="53">
        <f>VLOOKUP(B46,'rate sheet working'!$B$3:$D$158,3,0)</f>
        <v>1200</v>
      </c>
      <c r="E46" s="45">
        <f t="shared" si="3"/>
        <v>8914.5802688000003</v>
      </c>
      <c r="F46" s="54">
        <f>VLOOKUP(B46,'rate sheet working'!$B$3:$E$158,4,0)</f>
        <v>1.3029503554386159</v>
      </c>
      <c r="G46" s="56">
        <f>VLOOKUP(B46,'rate sheet periphery 1'!$B$5:$F$110,5,0)</f>
        <v>3.1269999999999998</v>
      </c>
      <c r="H46" s="56">
        <f t="shared" si="4"/>
        <v>4.4299503554386153</v>
      </c>
      <c r="I46" s="144">
        <f>H46-H47</f>
        <v>0.23467708638763618</v>
      </c>
    </row>
    <row r="47" spans="1:9" x14ac:dyDescent="0.25">
      <c r="A47" s="11">
        <v>45</v>
      </c>
      <c r="B47" s="13" t="s">
        <v>167</v>
      </c>
      <c r="C47" s="52">
        <f>VLOOKUP(B47,'rate sheet working'!$B$3:$C$158,2,0)</f>
        <v>1320</v>
      </c>
      <c r="D47" s="53">
        <f>VLOOKUP(B47,'rate sheet working'!$B$3:$D$158,3,0)</f>
        <v>1320</v>
      </c>
      <c r="E47" s="45">
        <f t="shared" si="3"/>
        <v>7714.5802687999994</v>
      </c>
      <c r="F47" s="54">
        <f>VLOOKUP(B47,'rate sheet working'!$B$3:$E$158,4,0)</f>
        <v>1.2692732690509789</v>
      </c>
      <c r="G47" s="56">
        <f>VLOOKUP(B47,'rate sheet periphery 1'!$B$5:$F$110,5,0)</f>
        <v>2.9260000000000002</v>
      </c>
      <c r="H47" s="56">
        <f t="shared" si="4"/>
        <v>4.1952732690509791</v>
      </c>
      <c r="I47" s="144">
        <f>H47-H49</f>
        <v>0.10770968636980083</v>
      </c>
    </row>
    <row r="48" spans="1:9" x14ac:dyDescent="0.25">
      <c r="A48" s="11">
        <v>46</v>
      </c>
      <c r="B48" s="4" t="s">
        <v>22</v>
      </c>
      <c r="C48" s="52">
        <f>VLOOKUP(B48,'rate sheet working'!$B$3:$C$158,2,0)</f>
        <v>840</v>
      </c>
      <c r="D48" s="53">
        <f>VLOOKUP(B48,'rate sheet working'!$B$3:$D$158,3,0)</f>
        <v>840</v>
      </c>
      <c r="E48" s="45">
        <f t="shared" si="3"/>
        <v>6394.5802687999994</v>
      </c>
      <c r="F48" s="54">
        <f>VLOOKUP(B48,'rate sheet working'!$B$3:$E$158,4,0)</f>
        <v>1.0462155118262422</v>
      </c>
      <c r="G48" s="56">
        <f>VLOOKUP(B48,'rate sheet periphery 1'!$B$5:$F$110,5,0)</f>
        <v>3.0670000000000002</v>
      </c>
      <c r="H48" s="56">
        <f t="shared" si="4"/>
        <v>4.1132155118262421</v>
      </c>
      <c r="I48" s="144"/>
    </row>
    <row r="49" spans="1:9" x14ac:dyDescent="0.25">
      <c r="A49" s="11">
        <v>47</v>
      </c>
      <c r="B49" s="4" t="s">
        <v>95</v>
      </c>
      <c r="C49" s="52">
        <f>VLOOKUP(B49,'rate sheet working'!$B$3:$C$158,2,0)</f>
        <v>500</v>
      </c>
      <c r="D49" s="53">
        <f>VLOOKUP(B49,'rate sheet working'!$B$3:$D$158,3,0)</f>
        <v>127.86</v>
      </c>
      <c r="E49" s="45">
        <f t="shared" si="3"/>
        <v>5554.5802687999994</v>
      </c>
      <c r="F49" s="54">
        <f>VLOOKUP(B49,'rate sheet working'!$B$3:$E$158,4,0)</f>
        <v>1.7249287472344317</v>
      </c>
      <c r="G49" s="56">
        <f>VLOOKUP(B49,'rate sheet periphery 1'!$B$5:$F$110,5,0)</f>
        <v>2.3626348354467464</v>
      </c>
      <c r="H49" s="56">
        <f t="shared" si="4"/>
        <v>4.0875635826811783</v>
      </c>
    </row>
    <row r="50" spans="1:9" x14ac:dyDescent="0.25">
      <c r="A50" s="11">
        <v>48</v>
      </c>
      <c r="B50" s="4" t="s">
        <v>33</v>
      </c>
      <c r="C50" s="52">
        <f>VLOOKUP(B50,'rate sheet working'!$B$3:$C$158,2,0)</f>
        <v>1000</v>
      </c>
      <c r="D50" s="53">
        <f>VLOOKUP(B50,'rate sheet working'!$B$3:$D$158,3,0)</f>
        <v>256.41000000000003</v>
      </c>
      <c r="E50" s="45">
        <f t="shared" si="3"/>
        <v>5426.7202687999998</v>
      </c>
      <c r="F50" s="54">
        <f>VLOOKUP(B50,'rate sheet working'!$B$3:$E$158,4,0)</f>
        <v>1.6494464476681268</v>
      </c>
      <c r="G50" s="56">
        <f>VLOOKUP(B50,'rate sheet periphery 1'!$B$5:$F$110,5,0)</f>
        <v>2.3194208204645324</v>
      </c>
      <c r="H50" s="56">
        <f t="shared" si="4"/>
        <v>3.9688672681326591</v>
      </c>
    </row>
    <row r="51" spans="1:9" x14ac:dyDescent="0.25">
      <c r="A51" s="11">
        <v>49</v>
      </c>
      <c r="B51" s="4" t="s">
        <v>27</v>
      </c>
      <c r="C51" s="52">
        <f>VLOOKUP(B51,'rate sheet working'!$B$3:$C$158,2,0)</f>
        <v>1500</v>
      </c>
      <c r="D51" s="53">
        <f>VLOOKUP(B51,'rate sheet working'!$B$3:$D$158,3,0)</f>
        <v>73.95</v>
      </c>
      <c r="E51" s="45">
        <f t="shared" si="3"/>
        <v>5170.3102687999999</v>
      </c>
      <c r="F51" s="54">
        <f>VLOOKUP(B51,'rate sheet working'!$B$3:$E$158,4,0)</f>
        <v>0.92016615713300831</v>
      </c>
      <c r="G51" s="56">
        <f>VLOOKUP(B51,'rate sheet periphery 1'!$B$5:$F$110,5,0)</f>
        <v>2.8876229336681316</v>
      </c>
      <c r="H51" s="56">
        <f t="shared" si="4"/>
        <v>3.80778909080114</v>
      </c>
    </row>
    <row r="52" spans="1:9" x14ac:dyDescent="0.25">
      <c r="A52" s="11">
        <v>50</v>
      </c>
      <c r="B52" s="4" t="s">
        <v>172</v>
      </c>
      <c r="C52" s="52">
        <f>VLOOKUP(B52,'rate sheet working'!$B$3:$C$158,2,0)</f>
        <v>1600</v>
      </c>
      <c r="D52" s="53">
        <f>VLOOKUP(B52,'rate sheet working'!$B$3:$D$158,3,0)</f>
        <v>147.41999999999999</v>
      </c>
      <c r="E52" s="45">
        <f t="shared" si="3"/>
        <v>5096.3602688000001</v>
      </c>
      <c r="F52" s="54">
        <f>VLOOKUP(B52,'rate sheet working'!$B$3:$E$158,4,0)</f>
        <v>2.2835364224538699</v>
      </c>
      <c r="G52" s="56">
        <f>VLOOKUP(B52,'rate sheet periphery 1'!$B$5:$F$110,5,0)</f>
        <v>1.435389874503034</v>
      </c>
      <c r="H52" s="56">
        <f t="shared" si="4"/>
        <v>3.7189262969569041</v>
      </c>
      <c r="I52" s="144">
        <f>H52-H53</f>
        <v>0.21753329651224718</v>
      </c>
    </row>
    <row r="53" spans="1:9" s="175" customFormat="1" x14ac:dyDescent="0.25">
      <c r="A53" s="11">
        <v>51</v>
      </c>
      <c r="B53" s="13" t="s">
        <v>300</v>
      </c>
      <c r="C53" s="52">
        <f>VLOOKUP(B53,'rate sheet working'!$B$3:$C$158,2,0)</f>
        <v>1320</v>
      </c>
      <c r="D53" s="53">
        <f>VLOOKUP(B53,'rate sheet working'!$B$3:$D$158,3,0)</f>
        <v>3.0377688000000003</v>
      </c>
      <c r="E53" s="45">
        <f t="shared" si="3"/>
        <v>4948.9402688</v>
      </c>
      <c r="F53" s="54">
        <f>VLOOKUP(B53,'rate sheet working'!$B$3:$E$158,4,0)</f>
        <v>1.3848414206162407</v>
      </c>
      <c r="G53" s="56">
        <f>VLOOKUP(B53,'rate sheet periphery 1'!$B$5:$F$110,5,0)</f>
        <v>2.1165515798284162</v>
      </c>
      <c r="H53" s="56">
        <f t="shared" si="4"/>
        <v>3.501393000444657</v>
      </c>
      <c r="I53" s="144">
        <f>H53-H55</f>
        <v>0.19733521711912516</v>
      </c>
    </row>
    <row r="54" spans="1:9" s="175" customFormat="1" x14ac:dyDescent="0.25">
      <c r="A54" s="11">
        <v>52</v>
      </c>
      <c r="B54" s="4" t="s">
        <v>31</v>
      </c>
      <c r="C54" s="52">
        <f>VLOOKUP(B54,'rate sheet working'!$B$3:$C$158,2,0)</f>
        <v>1260</v>
      </c>
      <c r="D54" s="53">
        <f>VLOOKUP(B54,'rate sheet working'!$B$3:$D$158,3,0)</f>
        <v>417.26</v>
      </c>
      <c r="E54" s="45">
        <f t="shared" si="3"/>
        <v>4945.9025000000001</v>
      </c>
      <c r="F54" s="54">
        <f>VLOOKUP(B54,'rate sheet working'!$B$3:$E$158,4,0)</f>
        <v>0.91733520477620856</v>
      </c>
      <c r="G54" s="56">
        <f>VLOOKUP(B54,'rate sheet periphery 1'!$B$5:$F$110,5,0)</f>
        <v>2.4640255978238126</v>
      </c>
      <c r="H54" s="56">
        <f t="shared" si="4"/>
        <v>3.381360802600021</v>
      </c>
      <c r="I54" s="144"/>
    </row>
    <row r="55" spans="1:9" s="175" customFormat="1" x14ac:dyDescent="0.25">
      <c r="A55" s="11">
        <v>53</v>
      </c>
      <c r="B55" s="4" t="s">
        <v>25</v>
      </c>
      <c r="C55" s="52">
        <f>VLOOKUP(B55,'rate sheet working'!$B$3:$C$158,2,0)</f>
        <v>500</v>
      </c>
      <c r="D55" s="53">
        <f>VLOOKUP(B55,'rate sheet working'!$B$3:$D$158,3,0)</f>
        <v>500</v>
      </c>
      <c r="E55" s="45">
        <f t="shared" si="3"/>
        <v>4528.6424999999999</v>
      </c>
      <c r="F55" s="54">
        <f>VLOOKUP(B55,'rate sheet working'!$B$3:$E$158,4,0)</f>
        <v>0.90705778332553177</v>
      </c>
      <c r="G55" s="56">
        <f>VLOOKUP(B55,'rate sheet periphery 1'!$B$5:$F$110,5,0)</f>
        <v>2.3970000000000002</v>
      </c>
      <c r="H55" s="56">
        <f t="shared" si="4"/>
        <v>3.3040577833255318</v>
      </c>
      <c r="I55" s="51"/>
    </row>
    <row r="56" spans="1:9" s="175" customFormat="1" x14ac:dyDescent="0.25">
      <c r="A56" s="11">
        <v>54</v>
      </c>
      <c r="B56" s="4" t="s">
        <v>30</v>
      </c>
      <c r="C56" s="52">
        <f>VLOOKUP(B56,'rate sheet working'!$B$3:$C$158,2,0)</f>
        <v>1000</v>
      </c>
      <c r="D56" s="53">
        <f>VLOOKUP(B56,'rate sheet working'!$B$3:$D$158,3,0)</f>
        <v>225.47</v>
      </c>
      <c r="E56" s="45">
        <f t="shared" si="3"/>
        <v>4028.6424999999999</v>
      </c>
      <c r="F56" s="54">
        <f>VLOOKUP(B56,'rate sheet working'!$B$3:$E$158,4,0)</f>
        <v>0.91111985072361856</v>
      </c>
      <c r="G56" s="56">
        <f>VLOOKUP(B56,'rate sheet periphery 1'!$B$5:$F$110,5,0)</f>
        <v>2.3424844320987659</v>
      </c>
      <c r="H56" s="56">
        <f t="shared" si="4"/>
        <v>3.2536042828223843</v>
      </c>
      <c r="I56" s="144">
        <f>H56-H57</f>
        <v>1.1994176985655525E-2</v>
      </c>
    </row>
    <row r="57" spans="1:9" s="175" customFormat="1" x14ac:dyDescent="0.25">
      <c r="A57" s="11">
        <v>55</v>
      </c>
      <c r="B57" s="4" t="s">
        <v>23</v>
      </c>
      <c r="C57" s="52">
        <f>VLOOKUP(B57,'rate sheet working'!$B$3:$C$158,2,0)</f>
        <v>657.39</v>
      </c>
      <c r="D57" s="53">
        <f>VLOOKUP(B57,'rate sheet working'!$B$3:$D$158,3,0)</f>
        <v>0.15</v>
      </c>
      <c r="E57" s="45">
        <f t="shared" si="3"/>
        <v>3803.1725000000001</v>
      </c>
      <c r="F57" s="54">
        <f>VLOOKUP(B57,'rate sheet working'!$B$3:$E$158,4,0)</f>
        <v>1.046590227201031</v>
      </c>
      <c r="G57" s="56">
        <f>VLOOKUP(B57,'rate sheet periphery 1'!$B$5:$F$110,5,0)</f>
        <v>2.1950198786356978</v>
      </c>
      <c r="H57" s="56">
        <f t="shared" si="4"/>
        <v>3.2416101058367288</v>
      </c>
      <c r="I57" s="51"/>
    </row>
    <row r="58" spans="1:9" x14ac:dyDescent="0.25">
      <c r="A58" s="11">
        <v>56</v>
      </c>
      <c r="B58" s="4" t="s">
        <v>34</v>
      </c>
      <c r="C58" s="52">
        <f>VLOOKUP(B58,'rate sheet working'!$B$3:$C$158,2,0)</f>
        <v>1000</v>
      </c>
      <c r="D58" s="53">
        <f>VLOOKUP(B58,'rate sheet working'!$B$3:$D$158,3,0)</f>
        <v>298.47000000000003</v>
      </c>
      <c r="E58" s="45">
        <f t="shared" si="3"/>
        <v>3803.0225</v>
      </c>
      <c r="F58" s="54">
        <f>VLOOKUP(B58,'rate sheet working'!$B$3:$E$158,4,0)</f>
        <v>0.78386921953636013</v>
      </c>
      <c r="G58" s="56">
        <f>VLOOKUP(B58,'rate sheet periphery 1'!$B$5:$F$110,5,0)</f>
        <v>2.3705448042268253</v>
      </c>
      <c r="H58" s="56">
        <f t="shared" si="4"/>
        <v>3.1544140237631852</v>
      </c>
      <c r="I58" s="175"/>
    </row>
    <row r="59" spans="1:9" x14ac:dyDescent="0.25">
      <c r="A59" s="11">
        <v>57</v>
      </c>
      <c r="B59" s="4" t="s">
        <v>131</v>
      </c>
      <c r="C59" s="52">
        <f>VLOOKUP(B59,'rate sheet working'!$B$3:$C$158,2,0)</f>
        <v>1000</v>
      </c>
      <c r="D59" s="53">
        <f>VLOOKUP(B59,'rate sheet working'!$B$3:$D$158,3,0)</f>
        <v>2.4</v>
      </c>
      <c r="E59" s="45">
        <f t="shared" si="3"/>
        <v>3504.5525000000002</v>
      </c>
      <c r="F59" s="54">
        <f>VLOOKUP(B59,'rate sheet working'!$B$3:$E$158,4,0)</f>
        <v>1.4694115224666227</v>
      </c>
      <c r="G59" s="56">
        <f>VLOOKUP(B59,'rate sheet periphery 1'!$B$5:$F$110,5,0)</f>
        <v>1.6331868591755596</v>
      </c>
      <c r="H59" s="56">
        <f t="shared" si="4"/>
        <v>3.1025983816421823</v>
      </c>
      <c r="I59" s="144" t="e">
        <f>H59-#REF!</f>
        <v>#REF!</v>
      </c>
    </row>
    <row r="60" spans="1:9" x14ac:dyDescent="0.25">
      <c r="A60" s="11">
        <v>58</v>
      </c>
      <c r="B60" s="4" t="s">
        <v>24</v>
      </c>
      <c r="C60" s="52">
        <f>VLOOKUP(B60,'rate sheet working'!$B$3:$C$158,2,0)</f>
        <v>210</v>
      </c>
      <c r="D60" s="53">
        <f>VLOOKUP(B60,'rate sheet working'!$B$3:$D$158,3,0)</f>
        <v>210</v>
      </c>
      <c r="E60" s="45">
        <f t="shared" si="3"/>
        <v>3502.1525000000001</v>
      </c>
      <c r="F60" s="54">
        <f>VLOOKUP(B60,'rate sheet working'!$B$3:$E$158,4,0)</f>
        <v>1.2209309435049047</v>
      </c>
      <c r="G60" s="56">
        <f>VLOOKUP(B60,'rate sheet periphery 1'!$B$5:$F$110,5,0)</f>
        <v>1.829</v>
      </c>
      <c r="H60" s="56">
        <f t="shared" si="4"/>
        <v>3.0499309435049047</v>
      </c>
      <c r="I60" s="144"/>
    </row>
    <row r="61" spans="1:9" x14ac:dyDescent="0.25">
      <c r="A61" s="11">
        <v>59</v>
      </c>
      <c r="B61" s="4" t="s">
        <v>306</v>
      </c>
      <c r="C61" s="52">
        <f>VLOOKUP(B61,'rate sheet working'!$B$3:$C$158,2,0)</f>
        <v>273</v>
      </c>
      <c r="D61" s="53">
        <f>VLOOKUP(B61,'rate sheet working'!$B$3:$D$158,3,0)</f>
        <v>273</v>
      </c>
      <c r="E61" s="45">
        <f t="shared" si="3"/>
        <v>3292.1525000000001</v>
      </c>
      <c r="F61" s="54">
        <f>VLOOKUP(B61,'rate sheet working'!$B$3:$E$158,4,0)</f>
        <v>1.0332759728408398</v>
      </c>
      <c r="G61" s="56">
        <f>VLOOKUP(B61,'rate sheet periphery 1'!$B$5:$F$110,5,0)</f>
        <v>1.9654645804561623</v>
      </c>
      <c r="H61" s="56">
        <f t="shared" si="4"/>
        <v>2.9987405532970022</v>
      </c>
      <c r="I61" s="144">
        <f>H61-H60</f>
        <v>-5.1190390207902503E-2</v>
      </c>
    </row>
    <row r="62" spans="1:9" x14ac:dyDescent="0.25">
      <c r="A62" s="11">
        <v>60</v>
      </c>
      <c r="B62" s="4" t="s">
        <v>154</v>
      </c>
      <c r="C62" s="52">
        <f>VLOOKUP(B62,'rate sheet working'!$B$3:$C$158,2,0)</f>
        <v>663</v>
      </c>
      <c r="D62" s="53">
        <f>VLOOKUP(B62,'rate sheet working'!$B$3:$D$158,3,0)</f>
        <v>1.5248999999999999</v>
      </c>
      <c r="E62" s="45">
        <f t="shared" si="3"/>
        <v>3019.1525000000001</v>
      </c>
      <c r="F62" s="54">
        <f>VLOOKUP(B62,'rate sheet working'!$B$3:$E$158,4,0)</f>
        <v>0.63500000000000001</v>
      </c>
      <c r="G62" s="56">
        <f>VLOOKUP(B62,'rate sheet periphery 1'!$B$5:$F$110,5,0)</f>
        <v>2.1814187068424356</v>
      </c>
      <c r="H62" s="56">
        <f t="shared" si="4"/>
        <v>2.8164187068424358</v>
      </c>
      <c r="I62" s="144">
        <f t="shared" ref="I62:I66" si="5">H62-H63</f>
        <v>7.8335858578881812E-4</v>
      </c>
    </row>
    <row r="63" spans="1:9" x14ac:dyDescent="0.25">
      <c r="A63" s="11">
        <v>61</v>
      </c>
      <c r="B63" s="4" t="s">
        <v>132</v>
      </c>
      <c r="C63" s="52">
        <f>VLOOKUP(B63,'rate sheet working'!$B$3:$C$158,2,0)</f>
        <v>2000</v>
      </c>
      <c r="D63" s="53">
        <f>VLOOKUP(B63,'rate sheet working'!$B$3:$D$158,3,0)</f>
        <v>3.8</v>
      </c>
      <c r="E63" s="45">
        <f t="shared" si="3"/>
        <v>3017.6276000000003</v>
      </c>
      <c r="F63" s="54">
        <f>VLOOKUP(B63,'rate sheet working'!$B$3:$E$158,4,0)</f>
        <v>0.76384627104384095</v>
      </c>
      <c r="G63" s="56">
        <f>VLOOKUP(B63,'rate sheet periphery 1'!$B$5:$F$110,5,0)</f>
        <v>2.0517890772128062</v>
      </c>
      <c r="H63" s="56">
        <f t="shared" si="4"/>
        <v>2.815635348256647</v>
      </c>
      <c r="I63" s="144">
        <f>H63-H65</f>
        <v>9.3967635345995948E-2</v>
      </c>
    </row>
    <row r="64" spans="1:9" x14ac:dyDescent="0.25">
      <c r="A64" s="11">
        <v>62</v>
      </c>
      <c r="B64" s="4" t="s">
        <v>160</v>
      </c>
      <c r="C64" s="52">
        <f>VLOOKUP(B64,'rate sheet working'!$B$3:$C$158,2,0)</f>
        <v>419</v>
      </c>
      <c r="D64" s="53">
        <f>VLOOKUP(B64,'rate sheet working'!$B$3:$D$158,3,0)</f>
        <v>1.0055999999999998</v>
      </c>
      <c r="E64" s="45">
        <f t="shared" si="3"/>
        <v>3013.8276000000001</v>
      </c>
      <c r="F64" s="54">
        <f>VLOOKUP(B64,'rate sheet working'!$B$3:$E$158,4,0)</f>
        <v>0.70899999999999996</v>
      </c>
      <c r="G64" s="56">
        <f>VLOOKUP(B64,'rate sheet periphery 1'!$B$5:$F$110,5,0)</f>
        <v>2.0977191881146684</v>
      </c>
      <c r="H64" s="56">
        <f t="shared" si="4"/>
        <v>2.8067191881146685</v>
      </c>
      <c r="I64" s="144"/>
    </row>
    <row r="65" spans="1:9" x14ac:dyDescent="0.25">
      <c r="A65" s="11">
        <v>63</v>
      </c>
      <c r="B65" s="4" t="s">
        <v>282</v>
      </c>
      <c r="C65" s="52">
        <f>VLOOKUP(B65,'rate sheet working'!$B$3:$C$158,2,0)</f>
        <v>1200</v>
      </c>
      <c r="D65" s="53">
        <f>VLOOKUP(B65,'rate sheet working'!$B$3:$D$158,3,0)</f>
        <v>60</v>
      </c>
      <c r="E65" s="45">
        <f t="shared" si="3"/>
        <v>3012.8220000000001</v>
      </c>
      <c r="F65" s="54">
        <f>VLOOKUP(B65,'rate sheet working'!$B$3:$E$158,4,0)</f>
        <v>0</v>
      </c>
      <c r="G65" s="56">
        <f>VLOOKUP(B65,'rate sheet periphery 1'!$B$5:$F$110,5,0)</f>
        <v>2.721667712910651</v>
      </c>
      <c r="H65" s="56">
        <f t="shared" si="4"/>
        <v>2.721667712910651</v>
      </c>
      <c r="I65" s="144">
        <f t="shared" si="5"/>
        <v>4.726047163981173E-2</v>
      </c>
    </row>
    <row r="66" spans="1:9" x14ac:dyDescent="0.25">
      <c r="A66" s="11">
        <v>64</v>
      </c>
      <c r="B66" s="4" t="s">
        <v>157</v>
      </c>
      <c r="C66" s="52">
        <f>VLOOKUP(B66,'rate sheet working'!$B$3:$C$158,2,0)</f>
        <v>830</v>
      </c>
      <c r="D66" s="53">
        <f>VLOOKUP(B66,'rate sheet working'!$B$3:$D$158,3,0)</f>
        <v>1.9919999999999998</v>
      </c>
      <c r="E66" s="45">
        <f t="shared" si="3"/>
        <v>2952.8220000000001</v>
      </c>
      <c r="F66" s="54">
        <f>VLOOKUP(B66,'rate sheet working'!$B$3:$E$158,4,0)</f>
        <v>0.52960707387180206</v>
      </c>
      <c r="G66" s="56">
        <f>VLOOKUP(B66,'rate sheet periphery 1'!$B$5:$F$110,5,0)</f>
        <v>2.1448001673990373</v>
      </c>
      <c r="H66" s="56">
        <f t="shared" si="4"/>
        <v>2.6744072412708393</v>
      </c>
      <c r="I66" s="144">
        <f t="shared" si="5"/>
        <v>6.7670646531787781E-3</v>
      </c>
    </row>
    <row r="67" spans="1:9" x14ac:dyDescent="0.25">
      <c r="A67" s="11">
        <v>65</v>
      </c>
      <c r="B67" s="4" t="s">
        <v>29</v>
      </c>
      <c r="C67" s="52">
        <f>VLOOKUP(B67,'rate sheet working'!$B$3:$C$158,2,0)</f>
        <v>1980</v>
      </c>
      <c r="D67" s="53">
        <f>VLOOKUP(B67,'rate sheet working'!$B$3:$D$158,3,0)</f>
        <v>283</v>
      </c>
      <c r="E67" s="45">
        <f t="shared" ref="E67:E75" si="6">D67+E68</f>
        <v>2950.83</v>
      </c>
      <c r="F67" s="54">
        <f>VLOOKUP(B67,'rate sheet working'!$B$3:$E$158,4,0)</f>
        <v>1.2557147073249215</v>
      </c>
      <c r="G67" s="56">
        <f>VLOOKUP(B67,'rate sheet periphery 1'!$B$5:$F$110,5,0)</f>
        <v>1.4119254692927392</v>
      </c>
      <c r="H67" s="56">
        <f t="shared" ref="H67:H75" si="7">F67+G67</f>
        <v>2.6676401766176605</v>
      </c>
      <c r="I67" s="144" t="e">
        <f>H67-#REF!</f>
        <v>#REF!</v>
      </c>
    </row>
    <row r="68" spans="1:9" x14ac:dyDescent="0.25">
      <c r="A68" s="11">
        <v>66</v>
      </c>
      <c r="B68" s="4" t="s">
        <v>56</v>
      </c>
      <c r="C68" s="52">
        <f>VLOOKUP(B68,'rate sheet working'!$B$3:$C$158,2,0)</f>
        <v>1320</v>
      </c>
      <c r="D68" s="53">
        <f>VLOOKUP(B68,'rate sheet working'!$B$3:$D$158,3,0)</f>
        <v>495</v>
      </c>
      <c r="E68" s="45">
        <f t="shared" si="6"/>
        <v>2667.83</v>
      </c>
      <c r="F68" s="54">
        <f>VLOOKUP(B68,'rate sheet working'!$B$3:$E$158,4,0)</f>
        <v>1.7145488507633684</v>
      </c>
      <c r="G68" s="56">
        <f>VLOOKUP(B68,'rate sheet periphery 1'!$B$5:$F$110,5,0)</f>
        <v>0.92760700878844937</v>
      </c>
      <c r="H68" s="56">
        <f t="shared" si="7"/>
        <v>2.642155859551818</v>
      </c>
    </row>
    <row r="69" spans="1:9" x14ac:dyDescent="0.25">
      <c r="A69" s="11">
        <v>67</v>
      </c>
      <c r="B69" s="44" t="s">
        <v>37</v>
      </c>
      <c r="C69" s="52">
        <f>VLOOKUP(B69,'rate sheet working'!$B$3:$C$158,2,0)</f>
        <v>500</v>
      </c>
      <c r="D69" s="53">
        <f>VLOOKUP(B69,'rate sheet working'!$B$3:$D$158,3,0)</f>
        <v>62.5</v>
      </c>
      <c r="E69" s="45">
        <f t="shared" si="6"/>
        <v>2172.83</v>
      </c>
      <c r="F69" s="54">
        <f>VLOOKUP(B69,'rate sheet working'!$B$3:$E$158,4,0)</f>
        <v>1.1259323539742558</v>
      </c>
      <c r="G69" s="56">
        <f>VLOOKUP(B69,'rate sheet periphery 1'!$B$5:$F$110,5,0)</f>
        <v>1.4664777589976985</v>
      </c>
      <c r="H69" s="56">
        <f t="shared" si="7"/>
        <v>2.5924101129719546</v>
      </c>
    </row>
    <row r="70" spans="1:9" x14ac:dyDescent="0.25">
      <c r="A70" s="11">
        <v>68</v>
      </c>
      <c r="B70" s="4" t="s">
        <v>19</v>
      </c>
      <c r="C70" s="52">
        <f>VLOOKUP(B70,'rate sheet working'!$B$3:$C$158,2,0)</f>
        <v>656.2</v>
      </c>
      <c r="D70" s="53">
        <f>VLOOKUP(B70,'rate sheet working'!$B$3:$D$158,3,0)</f>
        <v>0.13</v>
      </c>
      <c r="E70" s="45">
        <f t="shared" si="6"/>
        <v>2110.33</v>
      </c>
      <c r="F70" s="54">
        <f>VLOOKUP(B70,'rate sheet working'!$B$3:$E$158,4,0)</f>
        <v>0.85915096311475081</v>
      </c>
      <c r="G70" s="56">
        <f>VLOOKUP(B70,'rate sheet periphery 1'!$B$5:$F$110,5,0)</f>
        <v>1.6708516426030551</v>
      </c>
      <c r="H70" s="56">
        <f t="shared" si="7"/>
        <v>2.5300026057178058</v>
      </c>
    </row>
    <row r="71" spans="1:9" x14ac:dyDescent="0.25">
      <c r="A71" s="11">
        <v>69</v>
      </c>
      <c r="B71" s="4" t="s">
        <v>129</v>
      </c>
      <c r="C71" s="52">
        <f>VLOOKUP(B71,'rate sheet working'!$B$3:$C$158,2,0)</f>
        <v>1000</v>
      </c>
      <c r="D71" s="53">
        <f>VLOOKUP(B71,'rate sheet working'!$B$3:$D$158,3,0)</f>
        <v>2</v>
      </c>
      <c r="E71" s="45">
        <f t="shared" si="6"/>
        <v>2110.1999999999998</v>
      </c>
      <c r="F71" s="54">
        <f>VLOOKUP(B71,'rate sheet working'!$B$3:$E$158,4,0)</f>
        <v>0.83038164640483936</v>
      </c>
      <c r="G71" s="56">
        <f>VLOOKUP(B71,'rate sheet periphery 1'!$B$5:$F$110,5,0)</f>
        <v>1.6678175350491733</v>
      </c>
      <c r="H71" s="56">
        <f t="shared" si="7"/>
        <v>2.4981991814540128</v>
      </c>
    </row>
    <row r="72" spans="1:9" x14ac:dyDescent="0.25">
      <c r="A72" s="11">
        <v>70</v>
      </c>
      <c r="B72" s="4" t="s">
        <v>130</v>
      </c>
      <c r="C72" s="52">
        <f>VLOOKUP(B72,'rate sheet working'!$B$3:$C$158,2,0)</f>
        <v>1000</v>
      </c>
      <c r="D72" s="53">
        <f>VLOOKUP(B72,'rate sheet working'!$B$3:$D$158,3,0)</f>
        <v>2.1</v>
      </c>
      <c r="E72" s="45">
        <f t="shared" si="6"/>
        <v>2108.1999999999998</v>
      </c>
      <c r="F72" s="54">
        <f>VLOOKUP(B72,'rate sheet working'!$B$3:$E$158,4,0)</f>
        <v>0.77934853313441221</v>
      </c>
      <c r="G72" s="56">
        <f>VLOOKUP(B72,'rate sheet periphery 1'!$B$5:$F$110,5,0)</f>
        <v>1.6551579828415988</v>
      </c>
      <c r="H72" s="56">
        <f t="shared" si="7"/>
        <v>2.4345065159760111</v>
      </c>
    </row>
    <row r="73" spans="1:9" x14ac:dyDescent="0.25">
      <c r="A73" s="11">
        <v>71</v>
      </c>
      <c r="B73" s="4" t="s">
        <v>28</v>
      </c>
      <c r="C73" s="52">
        <f>VLOOKUP(B73,'rate sheet working'!$B$3:$C$158,2,0)</f>
        <v>1000</v>
      </c>
      <c r="D73" s="53">
        <f>VLOOKUP(B73,'rate sheet working'!$B$3:$D$158,3,0)</f>
        <v>168.47</v>
      </c>
      <c r="E73" s="45">
        <f t="shared" si="6"/>
        <v>2106.1</v>
      </c>
      <c r="F73" s="54">
        <f>VLOOKUP(B73,'rate sheet working'!$B$3:$E$158,4,0)</f>
        <v>0.98415242264196123</v>
      </c>
      <c r="G73" s="56">
        <f>VLOOKUP(B73,'rate sheet periphery 1'!$B$5:$F$110,5,0)</f>
        <v>1.4166364967043317</v>
      </c>
      <c r="H73" s="56">
        <f t="shared" si="7"/>
        <v>2.4007889193462928</v>
      </c>
    </row>
    <row r="74" spans="1:9" x14ac:dyDescent="0.25">
      <c r="A74" s="11">
        <v>72</v>
      </c>
      <c r="B74" s="4" t="s">
        <v>36</v>
      </c>
      <c r="C74" s="52">
        <f>VLOOKUP(B74,'rate sheet working'!$B$3:$C$158,2,0)</f>
        <v>2100</v>
      </c>
      <c r="D74" s="53">
        <f>VLOOKUP(B74,'rate sheet working'!$B$3:$D$158,3,0)</f>
        <v>452.63</v>
      </c>
      <c r="E74" s="45">
        <f t="shared" si="6"/>
        <v>1937.63</v>
      </c>
      <c r="F74" s="54">
        <f>VLOOKUP(B74,'rate sheet working'!$B$3:$E$158,4,0)</f>
        <v>0.7550673162927084</v>
      </c>
      <c r="G74" s="56">
        <f>VLOOKUP(B74,'rate sheet periphery 1'!$B$5:$F$110,5,0)</f>
        <v>1.5110332110399665</v>
      </c>
      <c r="H74" s="56">
        <f t="shared" si="7"/>
        <v>2.2661005273326751</v>
      </c>
    </row>
    <row r="75" spans="1:9" x14ac:dyDescent="0.25">
      <c r="A75" s="11">
        <v>73</v>
      </c>
      <c r="B75" s="4" t="s">
        <v>43</v>
      </c>
      <c r="C75" s="52">
        <f>VLOOKUP(B75,'rate sheet working'!$B$3:$C$158,2,0)</f>
        <v>3960</v>
      </c>
      <c r="D75" s="53">
        <f>VLOOKUP(B75,'rate sheet working'!$B$3:$D$158,3,0)</f>
        <v>1485</v>
      </c>
      <c r="E75" s="45">
        <f t="shared" si="6"/>
        <v>1485</v>
      </c>
      <c r="F75" s="54">
        <f>VLOOKUP(B75,'rate sheet working'!$B$3:$E$158,4,0)</f>
        <v>0.16570016000000001</v>
      </c>
      <c r="G75" s="56">
        <f>VLOOKUP(B75,'rate sheet periphery 1'!$B$5:$F$110,5,0)</f>
        <v>1.5560391423263658</v>
      </c>
      <c r="H75" s="56">
        <f t="shared" si="7"/>
        <v>1.7217393023263659</v>
      </c>
    </row>
  </sheetData>
  <sheetProtection selectLockedCells="1"/>
  <autoFilter ref="A2:I2"/>
  <sortState ref="B3:H75">
    <sortCondition descending="1" ref="H3:H75"/>
  </sortState>
  <mergeCells count="1">
    <mergeCell ref="A1:H1"/>
  </mergeCells>
  <printOptions horizontalCentered="1"/>
  <pageMargins left="0.11811023622047245" right="0.11811023622047245" top="0.15748031496062992" bottom="0.15748031496062992" header="0" footer="0"/>
  <pageSetup paperSize="9" scale="88"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2:I165"/>
  <sheetViews>
    <sheetView tabSelected="1" view="pageBreakPreview" zoomScaleSheetLayoutView="100" workbookViewId="0">
      <pane xSplit="1" ySplit="4" topLeftCell="B5" activePane="bottomRight" state="frozen"/>
      <selection activeCell="D20" sqref="D20"/>
      <selection pane="topRight" activeCell="D20" sqref="D20"/>
      <selection pane="bottomLeft" activeCell="D20" sqref="D20"/>
      <selection pane="bottomRight" activeCell="E14" sqref="E14"/>
    </sheetView>
  </sheetViews>
  <sheetFormatPr defaultColWidth="9.140625" defaultRowHeight="15" x14ac:dyDescent="0.25"/>
  <cols>
    <col min="1" max="1" width="9.140625" style="130"/>
    <col min="2" max="2" width="31.85546875" style="130" customWidth="1"/>
    <col min="3" max="3" width="11.85546875" style="130" customWidth="1"/>
    <col min="4" max="4" width="11.42578125" style="130" customWidth="1"/>
    <col min="5" max="5" width="11.140625" style="130" customWidth="1"/>
    <col min="6" max="6" width="14" style="130" customWidth="1"/>
    <col min="7" max="7" width="17" style="130" customWidth="1"/>
    <col min="8" max="16384" width="9.140625" style="130"/>
  </cols>
  <sheetData>
    <row r="2" spans="1:9" x14ac:dyDescent="0.25">
      <c r="A2" s="129"/>
      <c r="B2" s="129"/>
      <c r="C2" s="129"/>
      <c r="D2" s="129"/>
      <c r="E2" s="129"/>
      <c r="F2" s="129"/>
      <c r="G2" s="171" t="s">
        <v>326</v>
      </c>
    </row>
    <row r="3" spans="1:9" ht="21" customHeight="1" x14ac:dyDescent="0.25">
      <c r="A3" s="261" t="str">
        <f>'Excl URS 3 '!A1:N1</f>
        <v>Details of power purchase cost per unit of Thermal and Gas  Power  stations for MOD  for the month of March 2026</v>
      </c>
      <c r="B3" s="262"/>
      <c r="C3" s="262"/>
      <c r="D3" s="262"/>
      <c r="E3" s="262"/>
      <c r="F3" s="262"/>
      <c r="G3" s="262"/>
    </row>
    <row r="4" spans="1:9" ht="55.5" customHeight="1" x14ac:dyDescent="0.25">
      <c r="A4" s="217" t="s">
        <v>0</v>
      </c>
      <c r="B4" s="217" t="s">
        <v>1</v>
      </c>
      <c r="C4" s="217" t="s">
        <v>63</v>
      </c>
      <c r="D4" s="217" t="s">
        <v>61</v>
      </c>
      <c r="E4" s="217" t="s">
        <v>261</v>
      </c>
      <c r="F4" s="217" t="s">
        <v>277</v>
      </c>
      <c r="G4" s="217" t="s">
        <v>78</v>
      </c>
    </row>
    <row r="5" spans="1:9" ht="14.25" customHeight="1" x14ac:dyDescent="0.25">
      <c r="A5" s="131">
        <v>1</v>
      </c>
      <c r="B5" s="4" t="s">
        <v>146</v>
      </c>
      <c r="C5" s="26">
        <f>VLOOKUP(B5,'rate sheet working'!$B$3:$C$158,2,0)</f>
        <v>1500</v>
      </c>
      <c r="D5" s="39">
        <f>VLOOKUP(B5,'rate sheet working'!$B$3:$D$158,3,0)</f>
        <v>1.7999999999999998</v>
      </c>
      <c r="E5" s="45">
        <f t="shared" ref="E5:E36" si="0">D5+E6</f>
        <v>12978.413868799998</v>
      </c>
      <c r="F5" s="40">
        <f>VLOOKUP(B5,'Excl URS 3 '!$B$6:$N$61,13,FALSE)</f>
        <v>4.4477160493827164</v>
      </c>
      <c r="G5" s="267" t="s">
        <v>233</v>
      </c>
      <c r="H5" s="205"/>
      <c r="I5" s="134"/>
    </row>
    <row r="6" spans="1:9" ht="18" customHeight="1" x14ac:dyDescent="0.25">
      <c r="A6" s="131">
        <f t="shared" ref="A6:A60" si="1">A5+1</f>
        <v>2</v>
      </c>
      <c r="B6" s="4" t="s">
        <v>135</v>
      </c>
      <c r="C6" s="26">
        <f>VLOOKUP(B6,'rate sheet working'!$B$3:$C$158,2,0)</f>
        <v>420</v>
      </c>
      <c r="D6" s="39">
        <f>VLOOKUP(B6,'rate sheet working'!$B$3:$D$158,3,0)</f>
        <v>1.008</v>
      </c>
      <c r="E6" s="45">
        <f t="shared" si="0"/>
        <v>12976.613868799999</v>
      </c>
      <c r="F6" s="40">
        <f>VLOOKUP(B6,'Excl URS 3 '!$B$6:$N$61,13,FALSE)</f>
        <v>4.4444967566436491</v>
      </c>
      <c r="G6" s="267"/>
      <c r="I6" s="134"/>
    </row>
    <row r="7" spans="1:9" ht="14.25" customHeight="1" x14ac:dyDescent="0.25">
      <c r="A7" s="131">
        <f t="shared" si="1"/>
        <v>3</v>
      </c>
      <c r="B7" s="4" t="s">
        <v>117</v>
      </c>
      <c r="C7" s="26">
        <f>VLOOKUP(B7,'rate sheet working'!$B$3:$C$158,2,0)</f>
        <v>1320</v>
      </c>
      <c r="D7" s="39">
        <f>VLOOKUP(B7,'rate sheet working'!$B$3:$D$158,3,0)</f>
        <v>295.88</v>
      </c>
      <c r="E7" s="45">
        <f t="shared" si="0"/>
        <v>12975.605868799999</v>
      </c>
      <c r="F7" s="40">
        <f>VLOOKUP(B7,'Excl URS 3 '!$B$6:$N$61,13,FALSE)</f>
        <v>4.241218664992676</v>
      </c>
      <c r="G7" s="267"/>
      <c r="I7" s="134"/>
    </row>
    <row r="8" spans="1:9" x14ac:dyDescent="0.25">
      <c r="A8" s="131">
        <f t="shared" si="1"/>
        <v>4</v>
      </c>
      <c r="B8" s="4" t="s">
        <v>169</v>
      </c>
      <c r="C8" s="26">
        <f>VLOOKUP(B8,'rate sheet working'!$B$3:$C$158,2,0)</f>
        <v>1600</v>
      </c>
      <c r="D8" s="39">
        <f>VLOOKUP(B8,'rate sheet working'!$B$3:$D$158,3,0)</f>
        <v>800</v>
      </c>
      <c r="E8" s="45">
        <f t="shared" si="0"/>
        <v>12679.7258688</v>
      </c>
      <c r="F8" s="40">
        <f>VLOOKUP(B8,'Excl URS 3 '!$B$6:$N$61,13,FALSE)</f>
        <v>4.155709793889935</v>
      </c>
      <c r="G8" s="267"/>
      <c r="I8" s="134"/>
    </row>
    <row r="9" spans="1:9" ht="25.5" x14ac:dyDescent="0.25">
      <c r="A9" s="131">
        <f t="shared" si="1"/>
        <v>5</v>
      </c>
      <c r="B9" s="13" t="s">
        <v>150</v>
      </c>
      <c r="C9" s="26">
        <f>VLOOKUP(B9,'rate sheet working'!$B$3:$C$158,2,0)</f>
        <v>980</v>
      </c>
      <c r="D9" s="39">
        <f>VLOOKUP(B9,'rate sheet working'!$B$3:$D$158,3,0)</f>
        <v>2.0579999999999998</v>
      </c>
      <c r="E9" s="45">
        <f t="shared" si="0"/>
        <v>11879.7258688</v>
      </c>
      <c r="F9" s="40">
        <f>VLOOKUP(B9,'Excl URS 3 '!$B$6:$N$61,13,FALSE)</f>
        <v>4.1246578782172003</v>
      </c>
      <c r="G9" s="267"/>
      <c r="I9" s="134"/>
    </row>
    <row r="10" spans="1:9" x14ac:dyDescent="0.25">
      <c r="A10" s="131">
        <f t="shared" si="1"/>
        <v>6</v>
      </c>
      <c r="B10" s="4" t="s">
        <v>279</v>
      </c>
      <c r="C10" s="26">
        <f>VLOOKUP(B10,'rate sheet working'!$B$3:$C$158,2,0)</f>
        <v>90</v>
      </c>
      <c r="D10" s="39">
        <f>VLOOKUP(B10,'rate sheet working'!$B$3:$D$158,3,0)</f>
        <v>27</v>
      </c>
      <c r="E10" s="45">
        <f t="shared" si="0"/>
        <v>11877.667868799999</v>
      </c>
      <c r="F10" s="40">
        <f>VLOOKUP(B10,'Excl URS 3 '!$B$6:$N$61,13,FALSE)</f>
        <v>3.9820099999999998</v>
      </c>
      <c r="G10" s="267"/>
      <c r="I10" s="134"/>
    </row>
    <row r="11" spans="1:9" x14ac:dyDescent="0.25">
      <c r="A11" s="131">
        <f t="shared" si="1"/>
        <v>7</v>
      </c>
      <c r="B11" s="4" t="s">
        <v>134</v>
      </c>
      <c r="C11" s="26">
        <f>VLOOKUP(B11,'rate sheet working'!$B$3:$C$158,2,0)</f>
        <v>420</v>
      </c>
      <c r="D11" s="39">
        <f>VLOOKUP(B11,'rate sheet working'!$B$3:$D$158,3,0)</f>
        <v>0.33600000000000002</v>
      </c>
      <c r="E11" s="45">
        <f t="shared" si="0"/>
        <v>11850.667868799999</v>
      </c>
      <c r="F11" s="40">
        <f>VLOOKUP(B11,'Excl URS 3 '!$B$6:$N$61,13,FALSE)</f>
        <v>3.699235404896422</v>
      </c>
      <c r="G11" s="267"/>
      <c r="I11" s="134"/>
    </row>
    <row r="12" spans="1:9" ht="15" customHeight="1" x14ac:dyDescent="0.25">
      <c r="A12" s="131">
        <f t="shared" si="1"/>
        <v>8</v>
      </c>
      <c r="B12" s="4" t="s">
        <v>133</v>
      </c>
      <c r="C12" s="26">
        <f>VLOOKUP(B12,'rate sheet working'!$B$3:$C$158,2,0)</f>
        <v>210</v>
      </c>
      <c r="D12" s="39">
        <f>VLOOKUP(B12,'rate sheet working'!$B$3:$D$158,3,0)</f>
        <v>0.48299999999999998</v>
      </c>
      <c r="E12" s="45">
        <f t="shared" si="0"/>
        <v>11850.3318688</v>
      </c>
      <c r="F12" s="40">
        <f>VLOOKUP(B12,'Excl URS 3 '!$B$6:$N$61,13,FALSE)</f>
        <v>3.6889116970077427</v>
      </c>
      <c r="G12" s="267"/>
      <c r="I12" s="134"/>
    </row>
    <row r="13" spans="1:9" ht="15" customHeight="1" x14ac:dyDescent="0.25">
      <c r="A13" s="131">
        <f t="shared" si="1"/>
        <v>9</v>
      </c>
      <c r="B13" s="4" t="s">
        <v>57</v>
      </c>
      <c r="C13" s="26">
        <f>VLOOKUP(B13,'rate sheet working'!$B$3:$C$158,2,0)</f>
        <v>500</v>
      </c>
      <c r="D13" s="39">
        <f>VLOOKUP(B13,'rate sheet working'!$B$3:$D$158,3,0)</f>
        <v>350</v>
      </c>
      <c r="E13" s="45">
        <f t="shared" si="0"/>
        <v>11849.8488688</v>
      </c>
      <c r="F13" s="40">
        <f>VLOOKUP(B13,'Excl URS 3 '!$B$6:$N$61,13,FALSE)</f>
        <v>3.59077</v>
      </c>
      <c r="G13" s="267"/>
      <c r="I13" s="134"/>
    </row>
    <row r="14" spans="1:9" ht="15" customHeight="1" x14ac:dyDescent="0.25">
      <c r="A14" s="131">
        <f t="shared" si="1"/>
        <v>10</v>
      </c>
      <c r="B14" s="4" t="s">
        <v>175</v>
      </c>
      <c r="C14" s="26">
        <f>VLOOKUP(B14,'rate sheet working'!$B$3:$C$158,2,0)</f>
        <v>1320</v>
      </c>
      <c r="D14" s="39">
        <f>VLOOKUP(B14,'rate sheet working'!$B$3:$D$158,3,0)</f>
        <v>660</v>
      </c>
      <c r="E14" s="45">
        <f t="shared" si="0"/>
        <v>11499.8488688</v>
      </c>
      <c r="F14" s="40">
        <f>VLOOKUP(B14,'Excl URS 3 '!$B$6:$N$61,13,FALSE)</f>
        <v>3.5897483814605566</v>
      </c>
      <c r="G14" s="267"/>
      <c r="I14" s="134"/>
    </row>
    <row r="15" spans="1:9" ht="15" customHeight="1" x14ac:dyDescent="0.25">
      <c r="A15" s="131">
        <f t="shared" si="1"/>
        <v>11</v>
      </c>
      <c r="B15" s="13" t="s">
        <v>295</v>
      </c>
      <c r="C15" s="26">
        <f>VLOOKUP(B15,'rate sheet working'!$B$3:$C$158,2,0)</f>
        <v>660</v>
      </c>
      <c r="D15" s="39">
        <f>VLOOKUP(B15,'rate sheet working'!$B$3:$D$158,3,0)</f>
        <v>1.0626</v>
      </c>
      <c r="E15" s="45">
        <f t="shared" si="0"/>
        <v>10839.8488688</v>
      </c>
      <c r="F15" s="40">
        <f>VLOOKUP(B15,'Excl URS 3 '!$B$6:$N$61,13,FALSE)</f>
        <v>3.5697844737392761</v>
      </c>
      <c r="G15" s="267"/>
      <c r="I15" s="134"/>
    </row>
    <row r="16" spans="1:9" ht="15" customHeight="1" x14ac:dyDescent="0.25">
      <c r="A16" s="131">
        <f t="shared" si="1"/>
        <v>12</v>
      </c>
      <c r="B16" s="4" t="s">
        <v>153</v>
      </c>
      <c r="C16" s="26">
        <f>VLOOKUP(B16,'rate sheet working'!$B$3:$C$158,2,0)</f>
        <v>500</v>
      </c>
      <c r="D16" s="39">
        <f>VLOOKUP(B16,'rate sheet working'!$B$3:$D$158,3,0)</f>
        <v>1.2</v>
      </c>
      <c r="E16" s="45">
        <f t="shared" si="0"/>
        <v>10838.7862688</v>
      </c>
      <c r="F16" s="40">
        <f>VLOOKUP(B16,'Excl URS 3 '!$B$6:$N$61,13,FALSE)</f>
        <v>3.5510387110274113</v>
      </c>
      <c r="G16" s="267"/>
      <c r="I16" s="134"/>
    </row>
    <row r="17" spans="1:9" ht="15" customHeight="1" x14ac:dyDescent="0.25">
      <c r="A17" s="131">
        <f t="shared" si="1"/>
        <v>13</v>
      </c>
      <c r="B17" s="4" t="s">
        <v>188</v>
      </c>
      <c r="C17" s="26">
        <f>VLOOKUP(B17,'rate sheet working'!$B$3:$C$158,2,0)</f>
        <v>1000</v>
      </c>
      <c r="D17" s="39">
        <f>VLOOKUP(B17,'rate sheet working'!$B$3:$D$158,3,0)</f>
        <v>100</v>
      </c>
      <c r="E17" s="45">
        <f t="shared" si="0"/>
        <v>10837.5862688</v>
      </c>
      <c r="F17" s="40">
        <f>VLOOKUP(B17,'Excl URS 3 '!$B$6:$N$61,13,FALSE)</f>
        <v>3.4702929483155471</v>
      </c>
      <c r="G17" s="267"/>
      <c r="I17" s="134"/>
    </row>
    <row r="18" spans="1:9" ht="15" customHeight="1" x14ac:dyDescent="0.25">
      <c r="A18" s="131">
        <f t="shared" si="1"/>
        <v>14</v>
      </c>
      <c r="B18" s="4" t="s">
        <v>245</v>
      </c>
      <c r="C18" s="26">
        <f>VLOOKUP(B18,'rate sheet working'!$B$3:$C$158,2,0)</f>
        <v>1320</v>
      </c>
      <c r="D18" s="39">
        <f>VLOOKUP(B18,'rate sheet working'!$B$3:$D$158,3,0)</f>
        <v>2.1120000000000001</v>
      </c>
      <c r="E18" s="45">
        <f t="shared" si="0"/>
        <v>10737.5862688</v>
      </c>
      <c r="F18" s="40">
        <f>VLOOKUP(B18,'Excl URS 3 '!$B$6:$N$61,13,FALSE)</f>
        <v>3.3453449696589246</v>
      </c>
      <c r="G18" s="267"/>
      <c r="I18" s="134"/>
    </row>
    <row r="19" spans="1:9" x14ac:dyDescent="0.25">
      <c r="A19" s="131">
        <f t="shared" si="1"/>
        <v>15</v>
      </c>
      <c r="B19" s="44" t="s">
        <v>18</v>
      </c>
      <c r="C19" s="26">
        <f>VLOOKUP(B19,'rate sheet working'!$B$3:$C$158,2,0)</f>
        <v>1000</v>
      </c>
      <c r="D19" s="39">
        <f>VLOOKUP(B19,'rate sheet working'!$B$3:$D$158,3,0)</f>
        <v>169.12</v>
      </c>
      <c r="E19" s="45">
        <f t="shared" si="0"/>
        <v>10735.474268800001</v>
      </c>
      <c r="F19" s="40">
        <f>VLOOKUP(B19,'Excl URS 3 '!$B$6:$N$61,13,FALSE)</f>
        <v>3.3375183092697216</v>
      </c>
      <c r="G19" s="267"/>
      <c r="I19" s="134"/>
    </row>
    <row r="20" spans="1:9" x14ac:dyDescent="0.25">
      <c r="A20" s="131">
        <f t="shared" si="1"/>
        <v>16</v>
      </c>
      <c r="B20" s="44" t="s">
        <v>103</v>
      </c>
      <c r="C20" s="26">
        <f>VLOOKUP(B20,'rate sheet working'!$B$3:$C$158,2,0)</f>
        <v>1320</v>
      </c>
      <c r="D20" s="39">
        <f>VLOOKUP(B20,'rate sheet working'!$B$3:$D$158,3,0)</f>
        <v>235.04</v>
      </c>
      <c r="E20" s="45">
        <f t="shared" si="0"/>
        <v>10566.3542688</v>
      </c>
      <c r="F20" s="40">
        <f>VLOOKUP(B20,'Excl URS 3 '!$B$6:$N$61,13,FALSE)</f>
        <v>3.332247122829044</v>
      </c>
      <c r="G20" s="267"/>
      <c r="I20" s="134"/>
    </row>
    <row r="21" spans="1:9" ht="15" customHeight="1" x14ac:dyDescent="0.25">
      <c r="A21" s="131">
        <f t="shared" si="1"/>
        <v>17</v>
      </c>
      <c r="B21" s="4" t="s">
        <v>70</v>
      </c>
      <c r="C21" s="26">
        <f>VLOOKUP(B21,'rate sheet working'!$B$3:$C$158,2,0)</f>
        <v>1200</v>
      </c>
      <c r="D21" s="39">
        <f>VLOOKUP(B21,'rate sheet working'!$B$3:$D$158,3,0)</f>
        <v>420</v>
      </c>
      <c r="E21" s="45">
        <f t="shared" si="0"/>
        <v>10331.314268799999</v>
      </c>
      <c r="F21" s="40">
        <f>VLOOKUP(B21,'Excl URS 3 '!$B$6:$N$61,13,FALSE)</f>
        <v>3.3270909970705169</v>
      </c>
      <c r="G21" s="267"/>
      <c r="I21" s="134"/>
    </row>
    <row r="22" spans="1:9" ht="16.5" customHeight="1" x14ac:dyDescent="0.25">
      <c r="A22" s="131">
        <f t="shared" si="1"/>
        <v>18</v>
      </c>
      <c r="B22" s="4" t="s">
        <v>54</v>
      </c>
      <c r="C22" s="26">
        <f>VLOOKUP(B22,'rate sheet working'!$B$3:$C$158,2,0)</f>
        <v>1200</v>
      </c>
      <c r="D22" s="39">
        <f>VLOOKUP(B22,'rate sheet working'!$B$3:$D$158,3,0)</f>
        <v>1200</v>
      </c>
      <c r="E22" s="45">
        <f t="shared" si="0"/>
        <v>9911.3142687999989</v>
      </c>
      <c r="F22" s="40">
        <f>VLOOKUP(B22,'Excl URS 3 '!$B$6:$N$61,13,FALSE)</f>
        <v>3.1269999999999998</v>
      </c>
      <c r="G22" s="267"/>
      <c r="I22" s="134"/>
    </row>
    <row r="23" spans="1:9" ht="15" customHeight="1" x14ac:dyDescent="0.25">
      <c r="A23" s="131">
        <f t="shared" si="1"/>
        <v>19</v>
      </c>
      <c r="B23" s="4" t="s">
        <v>168</v>
      </c>
      <c r="C23" s="26">
        <f>VLOOKUP(B23,'rate sheet working'!$B$3:$C$158,2,0)</f>
        <v>1320</v>
      </c>
      <c r="D23" s="39">
        <f>VLOOKUP(B23,'rate sheet working'!$B$3:$D$158,3,0)</f>
        <v>1.5839999999999999</v>
      </c>
      <c r="E23" s="45">
        <f t="shared" si="0"/>
        <v>8711.3142687999989</v>
      </c>
      <c r="F23" s="40">
        <f>VLOOKUP(B23,'Excl URS 3 '!$B$6:$N$61,13,FALSE)</f>
        <v>3.0937434609750998</v>
      </c>
      <c r="G23" s="267"/>
      <c r="I23" s="134"/>
    </row>
    <row r="24" spans="1:9" ht="18" customHeight="1" x14ac:dyDescent="0.25">
      <c r="A24" s="131">
        <f t="shared" si="1"/>
        <v>20</v>
      </c>
      <c r="B24" s="4" t="s">
        <v>22</v>
      </c>
      <c r="C24" s="26">
        <f>VLOOKUP(B24,'rate sheet working'!$B$3:$C$158,2,0)</f>
        <v>840</v>
      </c>
      <c r="D24" s="39">
        <f>VLOOKUP(B24,'rate sheet working'!$B$3:$D$158,3,0)</f>
        <v>840</v>
      </c>
      <c r="E24" s="45">
        <f t="shared" si="0"/>
        <v>8709.7302687999982</v>
      </c>
      <c r="F24" s="40">
        <f>VLOOKUP(B24,'Excl URS 3 '!$B$6:$N$61,13,FALSE)</f>
        <v>3.0670000000000002</v>
      </c>
      <c r="G24" s="267"/>
      <c r="I24" s="134"/>
    </row>
    <row r="25" spans="1:9" ht="18" customHeight="1" x14ac:dyDescent="0.25">
      <c r="A25" s="131">
        <f t="shared" si="1"/>
        <v>21</v>
      </c>
      <c r="B25" s="13" t="s">
        <v>311</v>
      </c>
      <c r="C25" s="26">
        <f>VLOOKUP(B25,'rate sheet working'!$B$3:$C$158,2,0)</f>
        <v>600</v>
      </c>
      <c r="D25" s="39">
        <f>VLOOKUP(B25,'rate sheet working'!$B$3:$D$158,3,0)</f>
        <v>24.24</v>
      </c>
      <c r="E25" s="45">
        <f t="shared" si="0"/>
        <v>7869.7302687999982</v>
      </c>
      <c r="F25" s="40">
        <f>VLOOKUP(B25,'Excl URS 3 '!$B$6:$N$61,13,FALSE)</f>
        <v>3.0498012136430215</v>
      </c>
      <c r="G25" s="266" t="s">
        <v>270</v>
      </c>
      <c r="I25" s="134"/>
    </row>
    <row r="26" spans="1:9" ht="15" customHeight="1" x14ac:dyDescent="0.25">
      <c r="A26" s="131">
        <f t="shared" si="1"/>
        <v>22</v>
      </c>
      <c r="B26" s="13" t="s">
        <v>167</v>
      </c>
      <c r="C26" s="26">
        <f>VLOOKUP(B26,'rate sheet working'!$B$3:$C$158,2,0)</f>
        <v>1320</v>
      </c>
      <c r="D26" s="39">
        <f>VLOOKUP(B26,'rate sheet working'!$B$3:$D$158,3,0)</f>
        <v>1320</v>
      </c>
      <c r="E26" s="45">
        <f t="shared" si="0"/>
        <v>7845.4902687999984</v>
      </c>
      <c r="F26" s="40">
        <f>VLOOKUP(B26,'Excl URS 3 '!$B$6:$N$61,13,FALSE)</f>
        <v>2.9260000000000002</v>
      </c>
      <c r="G26" s="266"/>
      <c r="I26" s="134"/>
    </row>
    <row r="27" spans="1:9" ht="15" customHeight="1" x14ac:dyDescent="0.25">
      <c r="A27" s="131">
        <f t="shared" si="1"/>
        <v>23</v>
      </c>
      <c r="B27" s="4" t="s">
        <v>27</v>
      </c>
      <c r="C27" s="26">
        <f>VLOOKUP(B27,'rate sheet working'!$B$3:$C$158,2,0)</f>
        <v>1500</v>
      </c>
      <c r="D27" s="39">
        <f>VLOOKUP(B27,'rate sheet working'!$B$3:$D$158,3,0)</f>
        <v>73.95</v>
      </c>
      <c r="E27" s="45">
        <f t="shared" si="0"/>
        <v>6525.4902687999984</v>
      </c>
      <c r="F27" s="40">
        <f>VLOOKUP(B27,'Excl URS 3 '!$B$6:$N$61,13,FALSE)</f>
        <v>2.8876229336681316</v>
      </c>
      <c r="G27" s="266"/>
      <c r="I27" s="134"/>
    </row>
    <row r="28" spans="1:9" ht="15" customHeight="1" x14ac:dyDescent="0.25">
      <c r="A28" s="131">
        <f t="shared" si="1"/>
        <v>24</v>
      </c>
      <c r="B28" s="13" t="s">
        <v>296</v>
      </c>
      <c r="C28" s="26">
        <f>VLOOKUP(B28,'rate sheet working'!$B$3:$C$158,2,0)</f>
        <v>600</v>
      </c>
      <c r="D28" s="39">
        <f>VLOOKUP(B28,'rate sheet working'!$B$3:$D$158,3,0)</f>
        <v>24.24</v>
      </c>
      <c r="E28" s="45">
        <f t="shared" si="0"/>
        <v>6451.5402687999986</v>
      </c>
      <c r="F28" s="40">
        <f>VLOOKUP(B28,'Excl URS 3 '!$B$6:$N$61,13,FALSE)</f>
        <v>2.8834484201715838</v>
      </c>
      <c r="G28" s="266"/>
      <c r="I28" s="134"/>
    </row>
    <row r="29" spans="1:9" x14ac:dyDescent="0.25">
      <c r="A29" s="131">
        <f t="shared" si="1"/>
        <v>25</v>
      </c>
      <c r="B29" s="4" t="s">
        <v>98</v>
      </c>
      <c r="C29" s="26">
        <f>VLOOKUP(B29,'rate sheet working'!$B$3:$C$158,2,0)</f>
        <v>600</v>
      </c>
      <c r="D29" s="39">
        <f>VLOOKUP(B29,'rate sheet working'!$B$3:$D$158,3,0)</f>
        <v>180</v>
      </c>
      <c r="E29" s="45">
        <f t="shared" si="0"/>
        <v>6427.3002687999988</v>
      </c>
      <c r="F29" s="40">
        <f>VLOOKUP(B29,'Excl URS 3 '!$B$6:$N$61,13,FALSE)</f>
        <v>2.8661540071144591</v>
      </c>
      <c r="G29" s="266"/>
      <c r="I29" s="134"/>
    </row>
    <row r="30" spans="1:9" x14ac:dyDescent="0.25">
      <c r="A30" s="131">
        <f t="shared" si="1"/>
        <v>26</v>
      </c>
      <c r="B30" s="4" t="s">
        <v>60</v>
      </c>
      <c r="C30" s="26">
        <f>VLOOKUP(B30,'rate sheet working'!$B$3:$C$158,2,0)</f>
        <v>500</v>
      </c>
      <c r="D30" s="39">
        <f>VLOOKUP(B30,'rate sheet working'!$B$3:$D$158,3,0)</f>
        <v>500</v>
      </c>
      <c r="E30" s="45">
        <f t="shared" si="0"/>
        <v>6247.3002687999988</v>
      </c>
      <c r="F30" s="40">
        <f>VLOOKUP(B30,'Excl URS 3 '!$B$6:$N$61,13,FALSE)</f>
        <v>2.786</v>
      </c>
      <c r="G30" s="266"/>
      <c r="I30" s="134"/>
    </row>
    <row r="31" spans="1:9" ht="16.5" customHeight="1" x14ac:dyDescent="0.25">
      <c r="A31" s="131">
        <f t="shared" si="1"/>
        <v>27</v>
      </c>
      <c r="B31" s="13" t="s">
        <v>310</v>
      </c>
      <c r="C31" s="26">
        <f>VLOOKUP(B31,'rate sheet working'!$B$3:$C$158,2,0)</f>
        <v>2400</v>
      </c>
      <c r="D31" s="39">
        <f>VLOOKUP(B31,'rate sheet working'!$B$3:$D$158,3,0)</f>
        <v>72.73</v>
      </c>
      <c r="E31" s="45">
        <f t="shared" si="0"/>
        <v>5747.3002687999988</v>
      </c>
      <c r="F31" s="40">
        <f>VLOOKUP(B31,'Excl URS 3 '!$B$6:$N$61,13,FALSE)</f>
        <v>2.7850261560996024</v>
      </c>
      <c r="G31" s="266"/>
      <c r="I31" s="134"/>
    </row>
    <row r="32" spans="1:9" ht="15" customHeight="1" x14ac:dyDescent="0.25">
      <c r="A32" s="131">
        <f t="shared" si="1"/>
        <v>28</v>
      </c>
      <c r="B32" s="4" t="s">
        <v>282</v>
      </c>
      <c r="C32" s="26">
        <f>VLOOKUP(B32,'rate sheet working'!$B$3:$C$158,2,0)</f>
        <v>1200</v>
      </c>
      <c r="D32" s="39">
        <f>VLOOKUP(B32,'rate sheet working'!$B$3:$D$158,3,0)</f>
        <v>60</v>
      </c>
      <c r="E32" s="45">
        <f t="shared" si="0"/>
        <v>5674.5702687999992</v>
      </c>
      <c r="F32" s="40">
        <f>VLOOKUP(B32,'Excl URS 3 '!$B$6:$N$61,13,FALSE)</f>
        <v>2.721667712910651</v>
      </c>
      <c r="G32" s="266"/>
      <c r="I32" s="134"/>
    </row>
    <row r="33" spans="1:9" ht="25.5" x14ac:dyDescent="0.25">
      <c r="A33" s="131">
        <f t="shared" si="1"/>
        <v>29</v>
      </c>
      <c r="B33" s="13" t="s">
        <v>298</v>
      </c>
      <c r="C33" s="26">
        <f>VLOOKUP(B33,'rate sheet working'!$B$3:$C$158,2,0)</f>
        <v>720</v>
      </c>
      <c r="D33" s="39">
        <f>VLOOKUP(B33,'rate sheet working'!$B$3:$D$158,3,0)</f>
        <v>72.73</v>
      </c>
      <c r="E33" s="45">
        <f t="shared" si="0"/>
        <v>5614.5702687999992</v>
      </c>
      <c r="F33" s="40">
        <f>VLOOKUP(B33,'Excl URS 3 '!$B$6:$N$61,13,FALSE)</f>
        <v>2.6883239171374766</v>
      </c>
      <c r="G33" s="266"/>
      <c r="I33" s="134"/>
    </row>
    <row r="34" spans="1:9" ht="27" customHeight="1" x14ac:dyDescent="0.25">
      <c r="A34" s="131">
        <f t="shared" si="1"/>
        <v>30</v>
      </c>
      <c r="B34" s="13" t="s">
        <v>297</v>
      </c>
      <c r="C34" s="26">
        <f>VLOOKUP(B34,'rate sheet working'!$B$3:$C$158,2,0)</f>
        <v>720</v>
      </c>
      <c r="D34" s="39">
        <f>VLOOKUP(B34,'rate sheet working'!$B$3:$D$158,3,0)</f>
        <v>72.73</v>
      </c>
      <c r="E34" s="45">
        <f t="shared" si="0"/>
        <v>5541.8402687999996</v>
      </c>
      <c r="F34" s="40">
        <f>VLOOKUP(B34,'Excl URS 3 '!$B$6:$N$61,13,FALSE)</f>
        <v>2.6412429378531077</v>
      </c>
      <c r="G34" s="266"/>
      <c r="I34" s="134"/>
    </row>
    <row r="35" spans="1:9" ht="27.75" customHeight="1" x14ac:dyDescent="0.25">
      <c r="A35" s="131">
        <f t="shared" si="1"/>
        <v>31</v>
      </c>
      <c r="B35" s="13" t="s">
        <v>299</v>
      </c>
      <c r="C35" s="26">
        <f>VLOOKUP(B35,'rate sheet working'!$B$3:$C$158,2,0)</f>
        <v>1200</v>
      </c>
      <c r="D35" s="39">
        <f>VLOOKUP(B35,'rate sheet working'!$B$3:$D$158,3,0)</f>
        <v>48.48</v>
      </c>
      <c r="E35" s="45">
        <f t="shared" si="0"/>
        <v>5469.1102688000001</v>
      </c>
      <c r="F35" s="40">
        <f>VLOOKUP(B35,'Excl URS 3 '!$B$6:$N$61,13,FALSE)</f>
        <v>2.5476041012764177</v>
      </c>
      <c r="G35" s="266"/>
      <c r="I35" s="134"/>
    </row>
    <row r="36" spans="1:9" ht="20.25" customHeight="1" x14ac:dyDescent="0.25">
      <c r="A36" s="131">
        <f t="shared" si="1"/>
        <v>32</v>
      </c>
      <c r="B36" s="4" t="s">
        <v>31</v>
      </c>
      <c r="C36" s="26">
        <f>VLOOKUP(B36,'rate sheet working'!$B$3:$C$158,2,0)</f>
        <v>1260</v>
      </c>
      <c r="D36" s="39">
        <f>VLOOKUP(B36,'rate sheet working'!$B$3:$D$158,3,0)</f>
        <v>417.26</v>
      </c>
      <c r="E36" s="45">
        <f t="shared" si="0"/>
        <v>5420.6302688000005</v>
      </c>
      <c r="F36" s="40">
        <f>VLOOKUP(B36,'Excl URS 3 '!$B$6:$N$61,13,FALSE)</f>
        <v>2.4640255978238126</v>
      </c>
      <c r="G36" s="266"/>
      <c r="I36" s="134"/>
    </row>
    <row r="37" spans="1:9" ht="17.25" customHeight="1" x14ac:dyDescent="0.25">
      <c r="A37" s="131">
        <f t="shared" si="1"/>
        <v>33</v>
      </c>
      <c r="B37" s="4" t="s">
        <v>25</v>
      </c>
      <c r="C37" s="26">
        <f>VLOOKUP(B37,'rate sheet working'!$B$3:$C$158,2,0)</f>
        <v>500</v>
      </c>
      <c r="D37" s="39">
        <f>VLOOKUP(B37,'rate sheet working'!$B$3:$D$158,3,0)</f>
        <v>500</v>
      </c>
      <c r="E37" s="45">
        <f t="shared" ref="E37:E59" si="2">D37+E38</f>
        <v>5003.3702688000003</v>
      </c>
      <c r="F37" s="40">
        <f>VLOOKUP(B37,'Excl URS 3 '!$B$6:$N$61,13,FALSE)</f>
        <v>2.3970000000000002</v>
      </c>
      <c r="G37" s="266"/>
      <c r="I37" s="134"/>
    </row>
    <row r="38" spans="1:9" ht="15" customHeight="1" x14ac:dyDescent="0.25">
      <c r="A38" s="131">
        <f t="shared" si="1"/>
        <v>34</v>
      </c>
      <c r="B38" s="4" t="s">
        <v>34</v>
      </c>
      <c r="C38" s="26">
        <f>VLOOKUP(B38,'rate sheet working'!$B$3:$C$158,2,0)</f>
        <v>1000</v>
      </c>
      <c r="D38" s="39">
        <f>VLOOKUP(B38,'rate sheet working'!$B$3:$D$158,3,0)</f>
        <v>298.47000000000003</v>
      </c>
      <c r="E38" s="45">
        <f t="shared" si="2"/>
        <v>4503.3702688000003</v>
      </c>
      <c r="F38" s="40">
        <f>VLOOKUP(B38,'Excl URS 3 '!$B$6:$N$61,13,FALSE)</f>
        <v>2.3705448042268253</v>
      </c>
      <c r="G38" s="266"/>
      <c r="I38" s="134"/>
    </row>
    <row r="39" spans="1:9" ht="15" customHeight="1" x14ac:dyDescent="0.25">
      <c r="A39" s="131">
        <f t="shared" si="1"/>
        <v>35</v>
      </c>
      <c r="B39" s="4" t="s">
        <v>95</v>
      </c>
      <c r="C39" s="26">
        <f>VLOOKUP(B39,'rate sheet working'!$B$3:$C$158,2,0)</f>
        <v>500</v>
      </c>
      <c r="D39" s="39">
        <f>VLOOKUP(B39,'rate sheet working'!$B$3:$D$158,3,0)</f>
        <v>127.86</v>
      </c>
      <c r="E39" s="45">
        <f t="shared" si="2"/>
        <v>4204.9002688</v>
      </c>
      <c r="F39" s="40">
        <f>VLOOKUP(B39,'Excl URS 3 '!$B$6:$N$61,13,FALSE)</f>
        <v>2.3626348354467464</v>
      </c>
      <c r="G39" s="266"/>
      <c r="I39" s="134"/>
    </row>
    <row r="40" spans="1:9" ht="15" customHeight="1" x14ac:dyDescent="0.25">
      <c r="A40" s="131">
        <f t="shared" si="1"/>
        <v>36</v>
      </c>
      <c r="B40" s="4" t="s">
        <v>30</v>
      </c>
      <c r="C40" s="26">
        <f>VLOOKUP(B40,'rate sheet working'!$B$3:$C$158,2,0)</f>
        <v>1000</v>
      </c>
      <c r="D40" s="39">
        <f>VLOOKUP(B40,'rate sheet working'!$B$3:$D$158,3,0)</f>
        <v>225.47</v>
      </c>
      <c r="E40" s="45">
        <f t="shared" si="2"/>
        <v>4077.0402687999999</v>
      </c>
      <c r="F40" s="40">
        <f>VLOOKUP(B40,'Excl URS 3 '!$B$6:$N$61,13,FALSE)</f>
        <v>2.3424844320987659</v>
      </c>
      <c r="G40" s="266"/>
      <c r="I40" s="134"/>
    </row>
    <row r="41" spans="1:9" x14ac:dyDescent="0.25">
      <c r="A41" s="131">
        <f t="shared" si="1"/>
        <v>37</v>
      </c>
      <c r="B41" s="4" t="s">
        <v>33</v>
      </c>
      <c r="C41" s="26">
        <f>VLOOKUP(B41,'rate sheet working'!$B$3:$C$158,2,0)</f>
        <v>1000</v>
      </c>
      <c r="D41" s="39">
        <f>VLOOKUP(B41,'rate sheet working'!$B$3:$D$158,3,0)</f>
        <v>256.41000000000003</v>
      </c>
      <c r="E41" s="45">
        <f t="shared" si="2"/>
        <v>3851.5702688000001</v>
      </c>
      <c r="F41" s="40">
        <f>VLOOKUP(B41,'Excl URS 3 '!$B$6:$N$61,13,FALSE)</f>
        <v>2.3194208204645324</v>
      </c>
      <c r="G41" s="266"/>
      <c r="I41" s="134"/>
    </row>
    <row r="42" spans="1:9" ht="15.75" customHeight="1" x14ac:dyDescent="0.25">
      <c r="A42" s="131">
        <f t="shared" si="1"/>
        <v>38</v>
      </c>
      <c r="B42" s="4" t="s">
        <v>23</v>
      </c>
      <c r="C42" s="26">
        <f>VLOOKUP(B42,'rate sheet working'!$B$3:$C$158,2,0)</f>
        <v>657.39</v>
      </c>
      <c r="D42" s="39">
        <f>VLOOKUP(B42,'rate sheet working'!$B$3:$D$158,3,0)</f>
        <v>0.15</v>
      </c>
      <c r="E42" s="45">
        <f t="shared" si="2"/>
        <v>3595.1602688000003</v>
      </c>
      <c r="F42" s="40">
        <f>VLOOKUP(B42,'Excl URS 3 '!$B$6:$N$61,13,FALSE)</f>
        <v>2.1950198786356978</v>
      </c>
      <c r="G42" s="266"/>
      <c r="I42" s="134"/>
    </row>
    <row r="43" spans="1:9" ht="15" customHeight="1" x14ac:dyDescent="0.25">
      <c r="A43" s="131">
        <f t="shared" si="1"/>
        <v>39</v>
      </c>
      <c r="B43" s="4" t="s">
        <v>154</v>
      </c>
      <c r="C43" s="26">
        <f>VLOOKUP(B43,'rate sheet working'!$B$3:$C$158,2,0)</f>
        <v>663</v>
      </c>
      <c r="D43" s="39">
        <f>VLOOKUP(B43,'rate sheet working'!$B$3:$D$158,3,0)</f>
        <v>1.5248999999999999</v>
      </c>
      <c r="E43" s="45">
        <f t="shared" si="2"/>
        <v>3595.0102688000002</v>
      </c>
      <c r="F43" s="40">
        <f>VLOOKUP(B43,'Excl URS 3 '!$B$6:$N$61,13,FALSE)</f>
        <v>2.1814187068424356</v>
      </c>
      <c r="G43" s="266"/>
      <c r="I43" s="134"/>
    </row>
    <row r="44" spans="1:9" x14ac:dyDescent="0.25">
      <c r="A44" s="131">
        <f t="shared" si="1"/>
        <v>40</v>
      </c>
      <c r="B44" s="4" t="s">
        <v>157</v>
      </c>
      <c r="C44" s="26">
        <f>VLOOKUP(B44,'rate sheet working'!$B$3:$C$158,2,0)</f>
        <v>830</v>
      </c>
      <c r="D44" s="39">
        <f>VLOOKUP(B44,'rate sheet working'!$B$3:$D$158,3,0)</f>
        <v>1.9919999999999998</v>
      </c>
      <c r="E44" s="45">
        <f t="shared" si="2"/>
        <v>3593.4853688000003</v>
      </c>
      <c r="F44" s="40">
        <f>VLOOKUP(B44,'Excl URS 3 '!$B$6:$N$61,13,FALSE)</f>
        <v>2.1448001673990373</v>
      </c>
      <c r="G44" s="266"/>
      <c r="I44" s="134"/>
    </row>
    <row r="45" spans="1:9" x14ac:dyDescent="0.25">
      <c r="A45" s="131">
        <f t="shared" si="1"/>
        <v>41</v>
      </c>
      <c r="B45" s="13" t="s">
        <v>300</v>
      </c>
      <c r="C45" s="26">
        <f>VLOOKUP(B45,'rate sheet working'!$B$3:$C$158,2,0)</f>
        <v>1320</v>
      </c>
      <c r="D45" s="39">
        <f>VLOOKUP(B45,'rate sheet working'!$B$3:$D$158,3,0)</f>
        <v>3.0377688000000003</v>
      </c>
      <c r="E45" s="45">
        <f t="shared" si="2"/>
        <v>3591.4933688000001</v>
      </c>
      <c r="F45" s="40">
        <f>VLOOKUP(B45,'Excl URS 3 '!$B$6:$N$61,13,FALSE)</f>
        <v>2.1165515798284162</v>
      </c>
      <c r="G45" s="266"/>
      <c r="I45" s="134"/>
    </row>
    <row r="46" spans="1:9" x14ac:dyDescent="0.25">
      <c r="A46" s="131">
        <f t="shared" si="1"/>
        <v>42</v>
      </c>
      <c r="B46" s="4" t="s">
        <v>160</v>
      </c>
      <c r="C46" s="26">
        <f>VLOOKUP(B46,'rate sheet working'!$B$3:$C$158,2,0)</f>
        <v>419</v>
      </c>
      <c r="D46" s="39">
        <f>VLOOKUP(B46,'rate sheet working'!$B$3:$D$158,3,0)</f>
        <v>1.0055999999999998</v>
      </c>
      <c r="E46" s="45">
        <f t="shared" si="2"/>
        <v>3588.4556000000002</v>
      </c>
      <c r="F46" s="40">
        <f>VLOOKUP(B46,'Excl URS 3 '!$B$6:$N$61,13,FALSE)</f>
        <v>2.0977191881146684</v>
      </c>
      <c r="G46" s="266"/>
      <c r="I46" s="134"/>
    </row>
    <row r="47" spans="1:9" x14ac:dyDescent="0.25">
      <c r="A47" s="131">
        <f t="shared" si="1"/>
        <v>43</v>
      </c>
      <c r="B47" s="4" t="s">
        <v>132</v>
      </c>
      <c r="C47" s="26">
        <f>VLOOKUP(B47,'rate sheet working'!$B$3:$C$158,2,0)</f>
        <v>2000</v>
      </c>
      <c r="D47" s="39">
        <f>VLOOKUP(B47,'rate sheet working'!$B$3:$D$158,3,0)</f>
        <v>3.8</v>
      </c>
      <c r="E47" s="45">
        <f t="shared" si="2"/>
        <v>3587.4500000000003</v>
      </c>
      <c r="F47" s="40">
        <f>VLOOKUP(B47,'Excl URS 3 '!$B$6:$N$61,13,FALSE)</f>
        <v>2.0517890772128062</v>
      </c>
      <c r="G47" s="266"/>
      <c r="I47" s="134"/>
    </row>
    <row r="48" spans="1:9" x14ac:dyDescent="0.25">
      <c r="A48" s="131">
        <f t="shared" si="1"/>
        <v>44</v>
      </c>
      <c r="B48" s="4" t="s">
        <v>306</v>
      </c>
      <c r="C48" s="26">
        <f>VLOOKUP(B48,'rate sheet working'!$B$3:$C$158,2,0)</f>
        <v>273</v>
      </c>
      <c r="D48" s="39">
        <f>VLOOKUP(B48,'rate sheet working'!$B$3:$D$158,3,0)</f>
        <v>273</v>
      </c>
      <c r="E48" s="45">
        <f t="shared" si="2"/>
        <v>3583.65</v>
      </c>
      <c r="F48" s="40">
        <f>VLOOKUP(B48,'Excl URS 3 '!$B$6:$N$61,13,FALSE)</f>
        <v>1.9654645804561623</v>
      </c>
      <c r="G48" s="266"/>
      <c r="I48" s="134"/>
    </row>
    <row r="49" spans="1:9" x14ac:dyDescent="0.25">
      <c r="A49" s="131">
        <f t="shared" si="1"/>
        <v>45</v>
      </c>
      <c r="B49" s="4" t="s">
        <v>24</v>
      </c>
      <c r="C49" s="26">
        <f>VLOOKUP(B49,'rate sheet working'!$B$3:$C$158,2,0)</f>
        <v>210</v>
      </c>
      <c r="D49" s="39">
        <f>VLOOKUP(B49,'rate sheet working'!$B$3:$D$158,3,0)</f>
        <v>210</v>
      </c>
      <c r="E49" s="45">
        <f t="shared" si="2"/>
        <v>3310.65</v>
      </c>
      <c r="F49" s="40">
        <f>VLOOKUP(B49,'Excl URS 3 '!$B$6:$N$61,13,FALSE)</f>
        <v>1.829</v>
      </c>
      <c r="G49" s="266"/>
      <c r="I49" s="134"/>
    </row>
    <row r="50" spans="1:9" x14ac:dyDescent="0.25">
      <c r="A50" s="131">
        <f t="shared" si="1"/>
        <v>46</v>
      </c>
      <c r="B50" s="4" t="s">
        <v>19</v>
      </c>
      <c r="C50" s="26">
        <f>VLOOKUP(B50,'rate sheet working'!$B$3:$C$158,2,0)</f>
        <v>656.2</v>
      </c>
      <c r="D50" s="39">
        <f>VLOOKUP(B50,'rate sheet working'!$B$3:$D$158,3,0)</f>
        <v>0.13</v>
      </c>
      <c r="E50" s="45">
        <f t="shared" si="2"/>
        <v>3100.65</v>
      </c>
      <c r="F50" s="40">
        <f>VLOOKUP(B50,'Excl URS 3 '!$B$6:$N$61,13,FALSE)</f>
        <v>1.6708516426030551</v>
      </c>
      <c r="G50" s="266"/>
      <c r="I50" s="134"/>
    </row>
    <row r="51" spans="1:9" x14ac:dyDescent="0.25">
      <c r="A51" s="131">
        <f t="shared" si="1"/>
        <v>47</v>
      </c>
      <c r="B51" s="4" t="s">
        <v>129</v>
      </c>
      <c r="C51" s="26">
        <f>VLOOKUP(B51,'rate sheet working'!$B$3:$C$158,2,0)</f>
        <v>1000</v>
      </c>
      <c r="D51" s="39">
        <f>VLOOKUP(B51,'rate sheet working'!$B$3:$D$158,3,0)</f>
        <v>2</v>
      </c>
      <c r="E51" s="45">
        <f t="shared" si="2"/>
        <v>3100.52</v>
      </c>
      <c r="F51" s="40">
        <f>VLOOKUP(B51,'Excl URS 3 '!$B$6:$N$61,13,FALSE)</f>
        <v>1.6678175350491733</v>
      </c>
      <c r="G51" s="266"/>
      <c r="I51" s="134"/>
    </row>
    <row r="52" spans="1:9" x14ac:dyDescent="0.25">
      <c r="A52" s="131">
        <f t="shared" si="1"/>
        <v>48</v>
      </c>
      <c r="B52" s="4" t="s">
        <v>130</v>
      </c>
      <c r="C52" s="26">
        <f>VLOOKUP(B52,'rate sheet working'!$B$3:$C$158,2,0)</f>
        <v>1000</v>
      </c>
      <c r="D52" s="39">
        <f>VLOOKUP(B52,'rate sheet working'!$B$3:$D$158,3,0)</f>
        <v>2.1</v>
      </c>
      <c r="E52" s="45">
        <f t="shared" si="2"/>
        <v>3098.52</v>
      </c>
      <c r="F52" s="40">
        <f>VLOOKUP(B52,'Excl URS 3 '!$B$6:$N$61,13,FALSE)</f>
        <v>1.6551579828415988</v>
      </c>
      <c r="G52" s="266"/>
      <c r="I52" s="134"/>
    </row>
    <row r="53" spans="1:9" ht="15" customHeight="1" x14ac:dyDescent="0.25">
      <c r="A53" s="131">
        <f t="shared" si="1"/>
        <v>49</v>
      </c>
      <c r="B53" s="4" t="s">
        <v>131</v>
      </c>
      <c r="C53" s="26">
        <f>VLOOKUP(B53,'rate sheet working'!$B$3:$C$158,2,0)</f>
        <v>1000</v>
      </c>
      <c r="D53" s="39">
        <f>VLOOKUP(B53,'rate sheet working'!$B$3:$D$158,3,0)</f>
        <v>2.4</v>
      </c>
      <c r="E53" s="45">
        <f t="shared" si="2"/>
        <v>3096.42</v>
      </c>
      <c r="F53" s="40">
        <f>VLOOKUP(B53,'Excl URS 3 '!$B$6:$N$61,13,FALSE)</f>
        <v>1.6331868591755596</v>
      </c>
      <c r="G53" s="266"/>
      <c r="I53" s="134"/>
    </row>
    <row r="54" spans="1:9" x14ac:dyDescent="0.25">
      <c r="A54" s="131">
        <f t="shared" si="1"/>
        <v>50</v>
      </c>
      <c r="B54" s="4" t="s">
        <v>43</v>
      </c>
      <c r="C54" s="26">
        <f>VLOOKUP(B54,'rate sheet working'!$B$3:$C$158,2,0)</f>
        <v>3960</v>
      </c>
      <c r="D54" s="39">
        <f>VLOOKUP(B54,'rate sheet working'!$B$3:$D$158,3,0)</f>
        <v>1485</v>
      </c>
      <c r="E54" s="45">
        <f t="shared" si="2"/>
        <v>3094.02</v>
      </c>
      <c r="F54" s="40">
        <f>VLOOKUP(B54,'Excl URS 3 '!$B$6:$N$61,13,FALSE)</f>
        <v>1.5560391423263658</v>
      </c>
      <c r="G54" s="266"/>
      <c r="I54" s="134"/>
    </row>
    <row r="55" spans="1:9" x14ac:dyDescent="0.25">
      <c r="A55" s="131">
        <f t="shared" si="1"/>
        <v>51</v>
      </c>
      <c r="B55" s="4" t="s">
        <v>36</v>
      </c>
      <c r="C55" s="26">
        <f>VLOOKUP(B55,'rate sheet working'!$B$3:$C$158,2,0)</f>
        <v>2100</v>
      </c>
      <c r="D55" s="39">
        <f>VLOOKUP(B55,'rate sheet working'!$B$3:$D$158,3,0)</f>
        <v>452.63</v>
      </c>
      <c r="E55" s="45">
        <f t="shared" si="2"/>
        <v>1609.02</v>
      </c>
      <c r="F55" s="40">
        <f>VLOOKUP(B55,'Excl URS 3 '!$B$6:$N$61,13,FALSE)</f>
        <v>1.5110332110399665</v>
      </c>
      <c r="G55" s="266"/>
      <c r="I55" s="134"/>
    </row>
    <row r="56" spans="1:9" x14ac:dyDescent="0.25">
      <c r="A56" s="131">
        <f t="shared" si="1"/>
        <v>52</v>
      </c>
      <c r="B56" s="44" t="s">
        <v>37</v>
      </c>
      <c r="C56" s="26">
        <f>VLOOKUP(B56,'rate sheet working'!$B$3:$C$158,2,0)</f>
        <v>500</v>
      </c>
      <c r="D56" s="39">
        <f>VLOOKUP(B56,'rate sheet working'!$B$3:$D$158,3,0)</f>
        <v>62.5</v>
      </c>
      <c r="E56" s="45">
        <f t="shared" si="2"/>
        <v>1156.3900000000001</v>
      </c>
      <c r="F56" s="40">
        <f>VLOOKUP(B56,'Excl URS 3 '!$B$6:$N$61,13,FALSE)</f>
        <v>1.4664777589976985</v>
      </c>
      <c r="G56" s="266"/>
      <c r="I56" s="134"/>
    </row>
    <row r="57" spans="1:9" x14ac:dyDescent="0.25">
      <c r="A57" s="131">
        <f t="shared" si="1"/>
        <v>53</v>
      </c>
      <c r="B57" s="4" t="s">
        <v>172</v>
      </c>
      <c r="C57" s="26">
        <f>VLOOKUP(B57,'rate sheet working'!$B$3:$C$158,2,0)</f>
        <v>1600</v>
      </c>
      <c r="D57" s="39">
        <f>VLOOKUP(B57,'rate sheet working'!$B$3:$D$158,3,0)</f>
        <v>147.41999999999999</v>
      </c>
      <c r="E57" s="45">
        <f t="shared" si="2"/>
        <v>1093.8900000000001</v>
      </c>
      <c r="F57" s="40">
        <f>VLOOKUP(B57,'Excl URS 3 '!$B$6:$N$61,13,FALSE)</f>
        <v>1.435389874503034</v>
      </c>
      <c r="G57" s="266"/>
      <c r="I57" s="134"/>
    </row>
    <row r="58" spans="1:9" x14ac:dyDescent="0.25">
      <c r="A58" s="131">
        <f t="shared" si="1"/>
        <v>54</v>
      </c>
      <c r="B58" s="4" t="s">
        <v>28</v>
      </c>
      <c r="C58" s="26">
        <f>VLOOKUP(B58,'rate sheet working'!$B$3:$C$158,2,0)</f>
        <v>1000</v>
      </c>
      <c r="D58" s="39">
        <f>VLOOKUP(B58,'rate sheet working'!$B$3:$D$158,3,0)</f>
        <v>168.47</v>
      </c>
      <c r="E58" s="45">
        <f t="shared" si="2"/>
        <v>946.47</v>
      </c>
      <c r="F58" s="40">
        <f>VLOOKUP(B58,'Excl URS 3 '!$B$6:$N$61,13,FALSE)</f>
        <v>1.4166364967043317</v>
      </c>
      <c r="G58" s="266"/>
      <c r="I58" s="134"/>
    </row>
    <row r="59" spans="1:9" x14ac:dyDescent="0.25">
      <c r="A59" s="131">
        <f t="shared" si="1"/>
        <v>55</v>
      </c>
      <c r="B59" s="4" t="s">
        <v>29</v>
      </c>
      <c r="C59" s="26">
        <f>VLOOKUP(B59,'rate sheet working'!$B$3:$C$158,2,0)</f>
        <v>1980</v>
      </c>
      <c r="D59" s="39">
        <f>VLOOKUP(B59,'rate sheet working'!$B$3:$D$158,3,0)</f>
        <v>283</v>
      </c>
      <c r="E59" s="45">
        <f t="shared" si="2"/>
        <v>778</v>
      </c>
      <c r="F59" s="40">
        <f>VLOOKUP(B59,'Excl URS 3 '!$B$6:$N$61,13,FALSE)</f>
        <v>1.4119254692927392</v>
      </c>
      <c r="G59" s="266"/>
      <c r="I59" s="134"/>
    </row>
    <row r="60" spans="1:9" x14ac:dyDescent="0.25">
      <c r="A60" s="131">
        <f t="shared" si="1"/>
        <v>56</v>
      </c>
      <c r="B60" s="4" t="s">
        <v>56</v>
      </c>
      <c r="C60" s="26">
        <f>VLOOKUP(B60,'rate sheet working'!$B$3:$C$158,2,0)</f>
        <v>1320</v>
      </c>
      <c r="D60" s="39">
        <f>VLOOKUP(B60,'rate sheet working'!$B$3:$D$158,3,0)</f>
        <v>495</v>
      </c>
      <c r="E60" s="45">
        <f>D60+E61</f>
        <v>495</v>
      </c>
      <c r="F60" s="40">
        <f>VLOOKUP(B60,'Excl URS 3 '!$B$6:$N$61,13,FALSE)</f>
        <v>0.92760700878844937</v>
      </c>
      <c r="G60" s="266"/>
      <c r="I60" s="134"/>
    </row>
    <row r="61" spans="1:9" x14ac:dyDescent="0.25">
      <c r="A61" s="132"/>
      <c r="B61" s="38"/>
      <c r="C61" s="47"/>
      <c r="D61" s="42"/>
      <c r="E61" s="48"/>
      <c r="F61" s="49"/>
      <c r="G61" s="218"/>
    </row>
    <row r="62" spans="1:9" ht="28.5" customHeight="1" x14ac:dyDescent="0.25">
      <c r="A62" s="204"/>
      <c r="B62" s="240" t="s">
        <v>327</v>
      </c>
      <c r="C62" s="240"/>
      <c r="D62" s="240"/>
      <c r="E62" s="240"/>
      <c r="F62" s="240"/>
      <c r="G62" s="263"/>
    </row>
    <row r="63" spans="1:9" ht="51.75" customHeight="1" x14ac:dyDescent="0.25">
      <c r="A63" s="217" t="s">
        <v>0</v>
      </c>
      <c r="B63" s="217" t="s">
        <v>1</v>
      </c>
      <c r="C63" s="217" t="s">
        <v>63</v>
      </c>
      <c r="D63" s="217" t="s">
        <v>61</v>
      </c>
      <c r="E63" s="217" t="s">
        <v>87</v>
      </c>
      <c r="F63" s="217" t="s">
        <v>69</v>
      </c>
      <c r="G63" s="263"/>
    </row>
    <row r="64" spans="1:9" ht="15" customHeight="1" x14ac:dyDescent="0.25">
      <c r="A64" s="131">
        <v>1</v>
      </c>
      <c r="B64" s="4" t="str">
        <f>'Excl URS 3 '!B68</f>
        <v>Koteshwar (NR)</v>
      </c>
      <c r="C64" s="26">
        <f>VLOOKUP(B64,'rate sheet working'!$B$3:$C$158,2,0)</f>
        <v>400</v>
      </c>
      <c r="D64" s="39">
        <f>VLOOKUP(B64,'rate sheet working'!$B$3:$D$158,3,0)</f>
        <v>0.64</v>
      </c>
      <c r="E64" s="45">
        <f>D64+E65</f>
        <v>3351.472632</v>
      </c>
      <c r="F64" s="40">
        <f>'Excl URS 3 '!J68</f>
        <v>3.0864197530864201</v>
      </c>
      <c r="G64" s="263"/>
    </row>
    <row r="65" spans="1:7" x14ac:dyDescent="0.25">
      <c r="A65" s="131">
        <f t="shared" ref="A65:A89" si="3">A64+1</f>
        <v>2</v>
      </c>
      <c r="B65" s="4" t="str">
        <f>'Excl URS 3 '!B69</f>
        <v>Kishanganga (NR)</v>
      </c>
      <c r="C65" s="26">
        <f>VLOOKUP(B65,'rate sheet working'!$B$3:$C$158,2,0)</f>
        <v>330</v>
      </c>
      <c r="D65" s="39">
        <f>VLOOKUP(B65,'rate sheet working'!$B$3:$D$158,3,0)</f>
        <v>0.75900000000000001</v>
      </c>
      <c r="E65" s="45">
        <f t="shared" ref="E65:E90" si="4">D65+E66</f>
        <v>3350.8326320000001</v>
      </c>
      <c r="F65" s="40">
        <f>'Excl URS 3 '!J69</f>
        <v>2.4984306340238542</v>
      </c>
      <c r="G65" s="263"/>
    </row>
    <row r="66" spans="1:7" x14ac:dyDescent="0.25">
      <c r="A66" s="131">
        <f t="shared" si="3"/>
        <v>3</v>
      </c>
      <c r="B66" s="4" t="str">
        <f>'Excl URS 3 '!B70</f>
        <v>Dulhasti (NR)</v>
      </c>
      <c r="C66" s="26">
        <f>VLOOKUP(B66,'rate sheet working'!$B$3:$C$158,2,0)</f>
        <v>390</v>
      </c>
      <c r="D66" s="39">
        <f>VLOOKUP(B66,'rate sheet working'!$B$3:$D$158,3,0)</f>
        <v>0.93599999999999994</v>
      </c>
      <c r="E66" s="45">
        <f t="shared" si="4"/>
        <v>3350.0736320000001</v>
      </c>
      <c r="F66" s="40">
        <f>'Excl URS 3 '!J70</f>
        <v>2.4356559949780285</v>
      </c>
      <c r="G66" s="263"/>
    </row>
    <row r="67" spans="1:7" x14ac:dyDescent="0.25">
      <c r="A67" s="131">
        <f t="shared" si="3"/>
        <v>4</v>
      </c>
      <c r="B67" s="4" t="str">
        <f>'Excl URS 3 '!B71</f>
        <v>Koldam (NR)</v>
      </c>
      <c r="C67" s="26">
        <f>VLOOKUP(B67,'rate sheet working'!$B$3:$C$158,2,0)</f>
        <v>800</v>
      </c>
      <c r="D67" s="39">
        <f>VLOOKUP(B67,'rate sheet working'!$B$3:$D$158,3,0)</f>
        <v>0.8</v>
      </c>
      <c r="E67" s="45">
        <f t="shared" si="4"/>
        <v>3349.1376319999999</v>
      </c>
      <c r="F67" s="40">
        <f>'Excl URS 3 '!J71</f>
        <v>2.3278928646160284</v>
      </c>
      <c r="G67" s="263"/>
    </row>
    <row r="68" spans="1:7" x14ac:dyDescent="0.25">
      <c r="A68" s="131">
        <f t="shared" si="3"/>
        <v>5</v>
      </c>
      <c r="B68" s="4" t="str">
        <f>'Excl URS 3 '!B72</f>
        <v>URI II (NR)</v>
      </c>
      <c r="C68" s="26">
        <f>VLOOKUP(B68,'rate sheet working'!$B$3:$C$158,2,0)</f>
        <v>240</v>
      </c>
      <c r="D68" s="39">
        <f>VLOOKUP(B68,'rate sheet working'!$B$3:$D$158,3,0)</f>
        <v>0.57599999999999996</v>
      </c>
      <c r="E68" s="45">
        <f t="shared" si="4"/>
        <v>3348.3376319999998</v>
      </c>
      <c r="F68" s="40">
        <f>'Excl URS 3 '!J72</f>
        <v>2.3090604729022806</v>
      </c>
      <c r="G68" s="263"/>
    </row>
    <row r="69" spans="1:7" x14ac:dyDescent="0.25">
      <c r="A69" s="131">
        <f t="shared" si="3"/>
        <v>6</v>
      </c>
      <c r="B69" s="4" t="str">
        <f>'Excl URS 3 '!B73</f>
        <v>Sewa II (NR)</v>
      </c>
      <c r="C69" s="26">
        <f>VLOOKUP(B69,'rate sheet working'!$B$3:$C$158,2,0)</f>
        <v>120</v>
      </c>
      <c r="D69" s="39">
        <f>VLOOKUP(B69,'rate sheet working'!$B$3:$D$158,3,0)</f>
        <v>0.28799999999999998</v>
      </c>
      <c r="E69" s="45">
        <f t="shared" si="4"/>
        <v>3347.7616319999997</v>
      </c>
      <c r="F69" s="40">
        <f>'Excl URS 3 '!J73</f>
        <v>2.3080142289181835</v>
      </c>
      <c r="G69" s="263"/>
    </row>
    <row r="70" spans="1:7" x14ac:dyDescent="0.25">
      <c r="A70" s="131">
        <f t="shared" si="3"/>
        <v>7</v>
      </c>
      <c r="B70" s="4" t="str">
        <f>'Excl URS 3 '!B74</f>
        <v>Tehri I (NR)</v>
      </c>
      <c r="C70" s="26">
        <f>VLOOKUP(B70,'rate sheet working'!$B$3:$C$158,2,0)</f>
        <v>1000</v>
      </c>
      <c r="D70" s="39">
        <f>VLOOKUP(B70,'rate sheet working'!$B$3:$D$158,3,0)</f>
        <v>1.6</v>
      </c>
      <c r="E70" s="45">
        <f t="shared" si="4"/>
        <v>3347.4736319999997</v>
      </c>
      <c r="F70" s="40">
        <f>'Excl URS 3 '!J74</f>
        <v>2.2128060263653486</v>
      </c>
      <c r="G70" s="263"/>
    </row>
    <row r="71" spans="1:7" x14ac:dyDescent="0.25">
      <c r="A71" s="131">
        <f t="shared" si="3"/>
        <v>8</v>
      </c>
      <c r="B71" s="4" t="str">
        <f>'Excl URS 3 '!B75</f>
        <v>Chamera III (NR)</v>
      </c>
      <c r="C71" s="26">
        <f>VLOOKUP(B71,'rate sheet working'!$B$3:$C$158,2,0)</f>
        <v>231</v>
      </c>
      <c r="D71" s="39">
        <f>VLOOKUP(B71,'rate sheet working'!$B$3:$D$158,3,0)</f>
        <v>0.5544</v>
      </c>
      <c r="E71" s="45">
        <f t="shared" si="4"/>
        <v>3345.8736319999998</v>
      </c>
      <c r="F71" s="40">
        <f>'Excl URS 3 '!J75</f>
        <v>2.1845574387947271</v>
      </c>
      <c r="G71" s="263"/>
    </row>
    <row r="72" spans="1:7" x14ac:dyDescent="0.25">
      <c r="A72" s="131">
        <f t="shared" si="3"/>
        <v>9</v>
      </c>
      <c r="B72" s="4" t="str">
        <f>'Excl URS 3 '!B76</f>
        <v>Rampur HEP (NR)</v>
      </c>
      <c r="C72" s="26">
        <f>VLOOKUP(B72,'rate sheet working'!$B$3:$C$158,2,0)</f>
        <v>412.02</v>
      </c>
      <c r="D72" s="39">
        <f>VLOOKUP(B72,'rate sheet working'!$B$3:$D$158,3,0)</f>
        <v>0.65923200000000004</v>
      </c>
      <c r="E72" s="45">
        <f t="shared" si="4"/>
        <v>3345.3192319999998</v>
      </c>
      <c r="F72" s="40">
        <f>'Excl URS 3 '!J76</f>
        <v>2.1772337309060474</v>
      </c>
      <c r="G72" s="263"/>
    </row>
    <row r="73" spans="1:7" x14ac:dyDescent="0.25">
      <c r="A73" s="131">
        <f t="shared" si="3"/>
        <v>10</v>
      </c>
      <c r="B73" s="4" t="str">
        <f>'Excl URS 3 '!B77</f>
        <v>ISP &amp; OSP (25:11)</v>
      </c>
      <c r="C73" s="26">
        <f>VLOOKUP(B73,'rate sheet working'!$B$3:$C$158,2,0)</f>
        <v>1520</v>
      </c>
      <c r="D73" s="39">
        <f>VLOOKUP(B73,'rate sheet working'!$B$3:$D$158,3,0)</f>
        <v>1520</v>
      </c>
      <c r="E73" s="45">
        <f t="shared" si="4"/>
        <v>3344.66</v>
      </c>
      <c r="F73" s="40">
        <f>'Excl URS 3 '!J77</f>
        <v>2.1584311111111112</v>
      </c>
      <c r="G73" s="263"/>
    </row>
    <row r="74" spans="1:7" x14ac:dyDescent="0.25">
      <c r="A74" s="131">
        <f t="shared" si="3"/>
        <v>11</v>
      </c>
      <c r="B74" s="4" t="str">
        <f>'Excl URS 3 '!B78</f>
        <v>Jawahar Sagar (Inter state project)</v>
      </c>
      <c r="C74" s="26">
        <f>VLOOKUP(B74,'rate sheet working'!$B$3:$C$158,2,0)</f>
        <v>99</v>
      </c>
      <c r="D74" s="39">
        <f>VLOOKUP(B74,'rate sheet working'!$B$3:$D$158,3,0)</f>
        <v>49.5</v>
      </c>
      <c r="E74" s="45">
        <f t="shared" si="4"/>
        <v>1824.66</v>
      </c>
      <c r="F74" s="40">
        <f>'Excl URS 3 '!J78</f>
        <v>1.51</v>
      </c>
      <c r="G74" s="263"/>
    </row>
    <row r="75" spans="1:7" x14ac:dyDescent="0.25">
      <c r="A75" s="131">
        <f t="shared" si="3"/>
        <v>12</v>
      </c>
      <c r="B75" s="4" t="str">
        <f>'Excl URS 3 '!B79</f>
        <v>R P sagar (Inter state project)</v>
      </c>
      <c r="C75" s="26">
        <f>VLOOKUP(B75,'rate sheet working'!$B$3:$C$158,2,0)</f>
        <v>172</v>
      </c>
      <c r="D75" s="39">
        <f>VLOOKUP(B75,'rate sheet working'!$B$3:$D$158,3,0)</f>
        <v>86</v>
      </c>
      <c r="E75" s="45">
        <f t="shared" si="4"/>
        <v>1775.16</v>
      </c>
      <c r="F75" s="40">
        <f>'Excl URS 3 '!J79</f>
        <v>1.51</v>
      </c>
      <c r="G75" s="263"/>
    </row>
    <row r="76" spans="1:7" ht="15" customHeight="1" x14ac:dyDescent="0.25">
      <c r="A76" s="131">
        <f t="shared" si="3"/>
        <v>13</v>
      </c>
      <c r="B76" s="4" t="str">
        <f>'Excl URS 3 '!B80</f>
        <v xml:space="preserve">Madikhera HPS  </v>
      </c>
      <c r="C76" s="26">
        <f>VLOOKUP(B76,'rate sheet working'!$B$3:$C$158,2,0)</f>
        <v>60</v>
      </c>
      <c r="D76" s="39">
        <f>VLOOKUP(B76,'rate sheet working'!$B$3:$D$158,3,0)</f>
        <v>60</v>
      </c>
      <c r="E76" s="45">
        <f t="shared" si="4"/>
        <v>1689.16</v>
      </c>
      <c r="F76" s="40">
        <f>'Excl URS 3 '!J80</f>
        <v>1.425</v>
      </c>
      <c r="G76" s="263"/>
    </row>
    <row r="77" spans="1:7" x14ac:dyDescent="0.25">
      <c r="A77" s="131">
        <f t="shared" si="3"/>
        <v>14</v>
      </c>
      <c r="B77" s="4" t="str">
        <f>'Excl URS 3 '!B81</f>
        <v>Parbati III (NR)</v>
      </c>
      <c r="C77" s="26">
        <f>VLOOKUP(B77,'rate sheet working'!$B$3:$C$158,2,0)</f>
        <v>520</v>
      </c>
      <c r="D77" s="39">
        <f>VLOOKUP(B77,'rate sheet working'!$B$3:$D$158,3,0)</f>
        <v>1.248</v>
      </c>
      <c r="E77" s="45">
        <f t="shared" si="4"/>
        <v>1629.16</v>
      </c>
      <c r="F77" s="40">
        <f>'Excl URS 3 '!J81</f>
        <v>1.4249843063402388</v>
      </c>
      <c r="G77" s="263"/>
    </row>
    <row r="78" spans="1:7" x14ac:dyDescent="0.25">
      <c r="A78" s="131">
        <f t="shared" si="3"/>
        <v>15</v>
      </c>
      <c r="B78" s="4" t="str">
        <f>'Excl URS 3 '!B82</f>
        <v>Dhauliganga (NR)</v>
      </c>
      <c r="C78" s="26">
        <f>VLOOKUP(B78,'rate sheet working'!$B$3:$C$158,2,0)</f>
        <v>280</v>
      </c>
      <c r="D78" s="39">
        <f>VLOOKUP(B78,'rate sheet working'!$B$3:$D$158,3,0)</f>
        <v>0.67199999999999993</v>
      </c>
      <c r="E78" s="45">
        <f t="shared" si="4"/>
        <v>1627.912</v>
      </c>
      <c r="F78" s="40">
        <f>'Excl URS 3 '!J82</f>
        <v>1.3391922996442771</v>
      </c>
      <c r="G78" s="263"/>
    </row>
    <row r="79" spans="1:7" x14ac:dyDescent="0.25">
      <c r="A79" s="131">
        <f t="shared" si="3"/>
        <v>16</v>
      </c>
      <c r="B79" s="4" t="str">
        <f>'Excl URS 3 '!B83</f>
        <v>Chamera II (NR)</v>
      </c>
      <c r="C79" s="26">
        <f>VLOOKUP(B79,'rate sheet working'!$B$3:$C$158,2,0)</f>
        <v>300</v>
      </c>
      <c r="D79" s="39">
        <f>VLOOKUP(B79,'rate sheet working'!$B$3:$D$158,3,0)</f>
        <v>0.84000000000000008</v>
      </c>
      <c r="E79" s="45">
        <f t="shared" si="4"/>
        <v>1627.24</v>
      </c>
      <c r="F79" s="40">
        <f>'Excl URS 3 '!J83</f>
        <v>1.2607240008369953</v>
      </c>
      <c r="G79" s="263"/>
    </row>
    <row r="80" spans="1:7" x14ac:dyDescent="0.25">
      <c r="A80" s="131">
        <f t="shared" si="3"/>
        <v>17</v>
      </c>
      <c r="B80" s="4" t="str">
        <f>'Excl URS 3 '!B84</f>
        <v>Nathpa-Jhakri (NR)</v>
      </c>
      <c r="C80" s="26">
        <f>VLOOKUP(B80,'rate sheet working'!$B$3:$C$158,2,0)</f>
        <v>1500</v>
      </c>
      <c r="D80" s="39">
        <f>VLOOKUP(B80,'rate sheet working'!$B$3:$D$158,3,0)</f>
        <v>2.4</v>
      </c>
      <c r="E80" s="45">
        <f t="shared" si="4"/>
        <v>1626.4</v>
      </c>
      <c r="F80" s="40">
        <f>'Excl URS 3 '!J84</f>
        <v>1.258631512868801</v>
      </c>
      <c r="G80" s="263"/>
    </row>
    <row r="81" spans="1:8" x14ac:dyDescent="0.25">
      <c r="A81" s="131">
        <f t="shared" si="3"/>
        <v>18</v>
      </c>
      <c r="B81" s="4" t="str">
        <f>'Excl URS 3 '!B85</f>
        <v>Rajghat HPS</v>
      </c>
      <c r="C81" s="26">
        <f>VLOOKUP(B81,'rate sheet working'!$B$3:$C$158,2,0)</f>
        <v>45</v>
      </c>
      <c r="D81" s="39">
        <f>VLOOKUP(B81,'rate sheet working'!$B$3:$D$158,3,0)</f>
        <v>45</v>
      </c>
      <c r="E81" s="45">
        <f t="shared" si="4"/>
        <v>1624</v>
      </c>
      <c r="F81" s="40">
        <f>'Excl URS 3 '!J85</f>
        <v>0.98399999999999999</v>
      </c>
      <c r="G81" s="263"/>
    </row>
    <row r="82" spans="1:8" x14ac:dyDescent="0.25">
      <c r="A82" s="131">
        <f t="shared" si="3"/>
        <v>19</v>
      </c>
      <c r="B82" s="4" t="str">
        <f>'Excl URS 3 '!B86</f>
        <v>SSP</v>
      </c>
      <c r="C82" s="26">
        <f>VLOOKUP(B82,'rate sheet working'!$B$3:$C$158,2,0)</f>
        <v>1450</v>
      </c>
      <c r="D82" s="39">
        <f>VLOOKUP(B82,'rate sheet working'!$B$3:$D$158,3,0)</f>
        <v>826.5</v>
      </c>
      <c r="E82" s="45">
        <f t="shared" si="4"/>
        <v>1579</v>
      </c>
      <c r="F82" s="40">
        <f>'Excl URS 3 '!J86</f>
        <v>0.85792006695961498</v>
      </c>
      <c r="G82" s="263"/>
    </row>
    <row r="83" spans="1:8" x14ac:dyDescent="0.25">
      <c r="A83" s="131">
        <f t="shared" si="3"/>
        <v>20</v>
      </c>
      <c r="B83" s="4" t="str">
        <f>'Excl URS 3 '!B87</f>
        <v>Bansagar-III HPS</v>
      </c>
      <c r="C83" s="26">
        <f>VLOOKUP(B83,'rate sheet working'!$B$3:$C$158,2,0)</f>
        <v>60</v>
      </c>
      <c r="D83" s="39">
        <f>VLOOKUP(B83,'rate sheet working'!$B$3:$D$158,3,0)</f>
        <v>60</v>
      </c>
      <c r="E83" s="45">
        <f t="shared" si="4"/>
        <v>752.5</v>
      </c>
      <c r="F83" s="40">
        <f>'Excl URS 3 '!J87</f>
        <v>0.72199999999999998</v>
      </c>
      <c r="G83" s="263"/>
    </row>
    <row r="84" spans="1:8" x14ac:dyDescent="0.25">
      <c r="A84" s="131">
        <f t="shared" si="3"/>
        <v>21</v>
      </c>
      <c r="B84" s="4" t="str">
        <f>'Excl URS 3 '!B88</f>
        <v>Jhinna HPS</v>
      </c>
      <c r="C84" s="26">
        <f>VLOOKUP(B84,'rate sheet working'!$B$3:$C$158,2,0)</f>
        <v>20</v>
      </c>
      <c r="D84" s="39">
        <f>VLOOKUP(B84,'rate sheet working'!$B$3:$D$158,3,0)</f>
        <v>20</v>
      </c>
      <c r="E84" s="45">
        <f t="shared" si="4"/>
        <v>692.5</v>
      </c>
      <c r="F84" s="40">
        <f>'Excl URS 3 '!J88</f>
        <v>0.60799999999999998</v>
      </c>
      <c r="G84" s="263"/>
    </row>
    <row r="85" spans="1:8" x14ac:dyDescent="0.25">
      <c r="A85" s="131">
        <f t="shared" si="3"/>
        <v>22</v>
      </c>
      <c r="B85" s="4" t="str">
        <f>'Excl URS 3 '!B89</f>
        <v>Bansagar-I HPS</v>
      </c>
      <c r="C85" s="26">
        <f>VLOOKUP(B85,'rate sheet working'!$B$3:$C$158,2,0)</f>
        <v>315</v>
      </c>
      <c r="D85" s="39">
        <f>VLOOKUP(B85,'rate sheet working'!$B$3:$D$158,3,0)</f>
        <v>315</v>
      </c>
      <c r="E85" s="45">
        <f t="shared" si="4"/>
        <v>672.5</v>
      </c>
      <c r="F85" s="40">
        <f>'Excl URS 3 '!J89</f>
        <v>0.60199999999999998</v>
      </c>
      <c r="G85" s="263"/>
    </row>
    <row r="86" spans="1:8" x14ac:dyDescent="0.25">
      <c r="A86" s="131">
        <f t="shared" si="3"/>
        <v>23</v>
      </c>
      <c r="B86" s="4" t="str">
        <f>'Excl URS 3 '!B90</f>
        <v>Birsinghpur HPS</v>
      </c>
      <c r="C86" s="26">
        <f>VLOOKUP(B86,'rate sheet working'!$B$3:$C$158,2,0)</f>
        <v>20</v>
      </c>
      <c r="D86" s="39">
        <f>VLOOKUP(B86,'rate sheet working'!$B$3:$D$158,3,0)</f>
        <v>20</v>
      </c>
      <c r="E86" s="45">
        <f t="shared" si="4"/>
        <v>357.5</v>
      </c>
      <c r="F86" s="40">
        <f>'Excl URS 3 '!J90</f>
        <v>0.58899999999999997</v>
      </c>
      <c r="G86" s="263"/>
    </row>
    <row r="87" spans="1:8" x14ac:dyDescent="0.25">
      <c r="A87" s="131">
        <f t="shared" si="3"/>
        <v>24</v>
      </c>
      <c r="B87" s="4" t="str">
        <f>'Excl URS 3 '!B91</f>
        <v>Pench HPS</v>
      </c>
      <c r="C87" s="26">
        <f>VLOOKUP(B87,'rate sheet working'!$B$3:$C$158,2,0)</f>
        <v>160</v>
      </c>
      <c r="D87" s="39">
        <f>VLOOKUP(B87,'rate sheet working'!$B$3:$D$158,3,0)</f>
        <v>160</v>
      </c>
      <c r="E87" s="45">
        <f t="shared" si="4"/>
        <v>337.5</v>
      </c>
      <c r="F87" s="40">
        <f>'Excl URS 3 '!J91</f>
        <v>0.58399999999999996</v>
      </c>
      <c r="G87" s="263"/>
    </row>
    <row r="88" spans="1:8" x14ac:dyDescent="0.25">
      <c r="A88" s="131">
        <f t="shared" si="3"/>
        <v>25</v>
      </c>
      <c r="B88" s="4" t="str">
        <f>'Excl URS 3 '!B92</f>
        <v>Bansagar-II HPS</v>
      </c>
      <c r="C88" s="26">
        <f>VLOOKUP(B88,'rate sheet working'!$B$3:$C$158,2,0)</f>
        <v>30</v>
      </c>
      <c r="D88" s="39">
        <f>VLOOKUP(B88,'rate sheet working'!$B$3:$D$158,3,0)</f>
        <v>30</v>
      </c>
      <c r="E88" s="45">
        <f t="shared" si="4"/>
        <v>177.5</v>
      </c>
      <c r="F88" s="40">
        <f>'Excl URS 3 '!J92</f>
        <v>0.45700000000000002</v>
      </c>
      <c r="G88" s="263"/>
    </row>
    <row r="89" spans="1:8" x14ac:dyDescent="0.25">
      <c r="A89" s="131">
        <f t="shared" si="3"/>
        <v>26</v>
      </c>
      <c r="B89" s="4" t="str">
        <f>'Excl URS 3 '!B93</f>
        <v>Gandhi Sagar HPS</v>
      </c>
      <c r="C89" s="26">
        <f>VLOOKUP(B89,'rate sheet working'!$B$3:$C$158,2,0)</f>
        <v>115</v>
      </c>
      <c r="D89" s="39">
        <f>VLOOKUP(B89,'rate sheet working'!$B$3:$D$158,3,0)</f>
        <v>57.5</v>
      </c>
      <c r="E89" s="45">
        <f>D89+E90</f>
        <v>147.5</v>
      </c>
      <c r="F89" s="40">
        <f>'Excl URS 3 '!J93</f>
        <v>0.23799999999999999</v>
      </c>
      <c r="G89" s="263"/>
    </row>
    <row r="90" spans="1:8" x14ac:dyDescent="0.25">
      <c r="A90" s="131">
        <f>A89+1</f>
        <v>27</v>
      </c>
      <c r="B90" s="4" t="str">
        <f>'Excl URS 3 '!B94</f>
        <v>Bargi HPS</v>
      </c>
      <c r="C90" s="26">
        <f>VLOOKUP(B90,'rate sheet working'!$B$3:$C$158,2,0)</f>
        <v>90</v>
      </c>
      <c r="D90" s="39">
        <f>VLOOKUP(B90,'rate sheet working'!$B$3:$D$158,3,0)</f>
        <v>90</v>
      </c>
      <c r="E90" s="45">
        <f t="shared" si="4"/>
        <v>90</v>
      </c>
      <c r="F90" s="40">
        <f>'Excl URS 3 '!J94</f>
        <v>0.19</v>
      </c>
      <c r="G90" s="263"/>
    </row>
    <row r="91" spans="1:8" ht="12.75" customHeight="1" x14ac:dyDescent="0.25">
      <c r="A91" s="132"/>
      <c r="B91" s="133"/>
      <c r="C91" s="47"/>
      <c r="D91" s="42"/>
      <c r="E91" s="48"/>
      <c r="F91" s="49"/>
      <c r="G91" s="134"/>
    </row>
    <row r="92" spans="1:8" ht="26.25" customHeight="1" x14ac:dyDescent="0.25">
      <c r="A92" s="203"/>
      <c r="B92" s="264" t="s">
        <v>328</v>
      </c>
      <c r="C92" s="264"/>
      <c r="D92" s="264"/>
      <c r="E92" s="264"/>
      <c r="F92" s="265"/>
      <c r="G92" s="135"/>
    </row>
    <row r="93" spans="1:8" ht="42.75" customHeight="1" x14ac:dyDescent="0.25">
      <c r="A93" s="217" t="s">
        <v>0</v>
      </c>
      <c r="B93" s="217" t="s">
        <v>1</v>
      </c>
      <c r="C93" s="217" t="s">
        <v>63</v>
      </c>
      <c r="D93" s="217" t="s">
        <v>61</v>
      </c>
      <c r="E93" s="217" t="s">
        <v>87</v>
      </c>
      <c r="F93" s="217" t="s">
        <v>69</v>
      </c>
      <c r="G93" s="136"/>
    </row>
    <row r="94" spans="1:8" x14ac:dyDescent="0.25">
      <c r="A94" s="131">
        <v>1</v>
      </c>
      <c r="B94" s="4" t="str">
        <f>'Excl URS 3 '!B101</f>
        <v>KAWAS (NAPM)</v>
      </c>
      <c r="C94" s="26">
        <f>VLOOKUP(B94,'rate sheet working'!$B$3:$C$158,2,0)</f>
        <v>0</v>
      </c>
      <c r="D94" s="39">
        <f>VLOOKUP(B94,'rate sheet working'!$B$3:$D$158,3,0)</f>
        <v>0</v>
      </c>
      <c r="E94" s="45">
        <f t="shared" ref="E94:E110" si="5">D94+E95</f>
        <v>50</v>
      </c>
      <c r="F94" s="40">
        <f>'Excl URS 3 '!K101</f>
        <v>37.274534421427077</v>
      </c>
      <c r="G94" s="135"/>
      <c r="H94" s="205"/>
    </row>
    <row r="95" spans="1:8" x14ac:dyDescent="0.25">
      <c r="A95" s="131">
        <f>A94+1</f>
        <v>2</v>
      </c>
      <c r="B95" s="4" t="str">
        <f>'Excl URS 3 '!B102</f>
        <v>GANDHAR (NAPM)</v>
      </c>
      <c r="C95" s="26">
        <f>VLOOKUP(B95,'rate sheet working'!$B$3:$C$158,2,0)</f>
        <v>0</v>
      </c>
      <c r="D95" s="39">
        <f>VLOOKUP(B95,'rate sheet working'!$B$3:$D$158,3,0)</f>
        <v>0</v>
      </c>
      <c r="E95" s="45">
        <f t="shared" si="5"/>
        <v>50</v>
      </c>
      <c r="F95" s="40">
        <f>'Excl URS 3 '!K102</f>
        <v>31.092278719397363</v>
      </c>
      <c r="G95" s="135"/>
    </row>
    <row r="96" spans="1:8" x14ac:dyDescent="0.25">
      <c r="A96" s="131">
        <f t="shared" ref="A96:A110" si="6">A95+1</f>
        <v>3</v>
      </c>
      <c r="B96" s="4" t="str">
        <f>'Excl URS 3 '!B103</f>
        <v>KAWAS (Liquid)</v>
      </c>
      <c r="C96" s="26">
        <f>VLOOKUP(B96,'rate sheet working'!$B$3:$C$158,2,0)</f>
        <v>0</v>
      </c>
      <c r="D96" s="39">
        <f>VLOOKUP(B96,'rate sheet working'!$B$3:$D$158,3,0)</f>
        <v>0</v>
      </c>
      <c r="E96" s="45">
        <f t="shared" si="5"/>
        <v>50</v>
      </c>
      <c r="F96" s="40">
        <f>'Excl URS 3 '!K103</f>
        <v>25.154844109646369</v>
      </c>
      <c r="G96" s="135"/>
    </row>
    <row r="97" spans="1:7" x14ac:dyDescent="0.25">
      <c r="A97" s="131">
        <f t="shared" si="6"/>
        <v>4</v>
      </c>
      <c r="B97" s="4" t="str">
        <f>'Excl URS 3 '!B104</f>
        <v>Dadri Liquid (NR)</v>
      </c>
      <c r="C97" s="26">
        <f>VLOOKUP(B97,'rate sheet working'!$B$3:$C$158,2,0)</f>
        <v>0</v>
      </c>
      <c r="D97" s="39">
        <f>VLOOKUP(B97,'rate sheet working'!$B$3:$D$158,3,0)</f>
        <v>0</v>
      </c>
      <c r="E97" s="45">
        <f t="shared" si="5"/>
        <v>50</v>
      </c>
      <c r="F97" s="40">
        <f>'Excl URS 3 '!K104</f>
        <v>24.978028876333962</v>
      </c>
      <c r="G97" s="135"/>
    </row>
    <row r="98" spans="1:7" x14ac:dyDescent="0.25">
      <c r="A98" s="131">
        <f t="shared" si="6"/>
        <v>5</v>
      </c>
      <c r="B98" s="4" t="str">
        <f>'Excl URS 3 '!B105</f>
        <v>Auraiya  Liquid (NR)</v>
      </c>
      <c r="C98" s="26">
        <f>VLOOKUP(B98,'rate sheet working'!$B$3:$C$158,2,0)</f>
        <v>0</v>
      </c>
      <c r="D98" s="39">
        <f>VLOOKUP(B98,'rate sheet working'!$B$3:$D$158,3,0)</f>
        <v>0</v>
      </c>
      <c r="E98" s="45">
        <f t="shared" si="5"/>
        <v>50</v>
      </c>
      <c r="F98" s="40">
        <f>'Excl URS 3 '!K105</f>
        <v>19.553253818790541</v>
      </c>
      <c r="G98" s="135"/>
    </row>
    <row r="99" spans="1:7" x14ac:dyDescent="0.25">
      <c r="A99" s="131">
        <f t="shared" si="6"/>
        <v>6</v>
      </c>
      <c r="B99" s="4" t="str">
        <f>'Excl URS 3 '!B106</f>
        <v>Anta Liquid (NR)</v>
      </c>
      <c r="C99" s="26">
        <f>VLOOKUP(B99,'rate sheet working'!$B$3:$C$158,2,0)</f>
        <v>0</v>
      </c>
      <c r="D99" s="39">
        <f>VLOOKUP(B99,'rate sheet working'!$B$3:$D$158,3,0)</f>
        <v>0</v>
      </c>
      <c r="E99" s="45">
        <f t="shared" si="5"/>
        <v>50</v>
      </c>
      <c r="F99" s="40">
        <f>'Excl URS 3 '!K106</f>
        <v>18.307177233730908</v>
      </c>
      <c r="G99" s="135"/>
    </row>
    <row r="100" spans="1:7" x14ac:dyDescent="0.25">
      <c r="A100" s="131">
        <f t="shared" si="6"/>
        <v>7</v>
      </c>
      <c r="B100" s="4" t="str">
        <f>'Excl URS 3 '!B107</f>
        <v>GANDHAR (LNG)</v>
      </c>
      <c r="C100" s="26">
        <f>VLOOKUP(B100,'rate sheet working'!$B$3:$C$158,2,0)</f>
        <v>0</v>
      </c>
      <c r="D100" s="39">
        <f>VLOOKUP(B100,'rate sheet working'!$B$3:$D$158,3,0)</f>
        <v>0</v>
      </c>
      <c r="E100" s="45">
        <f t="shared" si="5"/>
        <v>50</v>
      </c>
      <c r="F100" s="40">
        <f>'Excl URS 3 '!K107</f>
        <v>13.649299016530655</v>
      </c>
      <c r="G100" s="135"/>
    </row>
    <row r="101" spans="1:7" x14ac:dyDescent="0.25">
      <c r="A101" s="131">
        <f t="shared" si="6"/>
        <v>8</v>
      </c>
      <c r="B101" s="4" t="str">
        <f>'Excl URS 3 '!B108</f>
        <v>Auraiya  CLNG (NR)</v>
      </c>
      <c r="C101" s="26">
        <f>VLOOKUP(B101,'rate sheet working'!$B$3:$C$158,2,0)</f>
        <v>0</v>
      </c>
      <c r="D101" s="39">
        <f>VLOOKUP(B101,'rate sheet working'!$B$3:$D$158,3,0)</f>
        <v>0</v>
      </c>
      <c r="E101" s="45">
        <f t="shared" si="5"/>
        <v>50</v>
      </c>
      <c r="F101" s="40">
        <f>'Excl URS 3 '!K108</f>
        <v>12.835321196903118</v>
      </c>
      <c r="G101" s="135"/>
    </row>
    <row r="102" spans="1:7" x14ac:dyDescent="0.25">
      <c r="A102" s="131">
        <f t="shared" si="6"/>
        <v>9</v>
      </c>
      <c r="B102" s="4" t="str">
        <f>'Excl URS 3 '!B109</f>
        <v>Dadri  Comm LNG (NR)</v>
      </c>
      <c r="C102" s="26">
        <f>VLOOKUP(B102,'rate sheet working'!$B$3:$C$158,2,0)</f>
        <v>0</v>
      </c>
      <c r="D102" s="39">
        <f>VLOOKUP(B102,'rate sheet working'!$B$3:$D$158,3,0)</f>
        <v>0</v>
      </c>
      <c r="E102" s="45">
        <f t="shared" si="5"/>
        <v>50</v>
      </c>
      <c r="F102" s="40">
        <f>'Excl URS 3 '!K109</f>
        <v>12.223268466206319</v>
      </c>
      <c r="G102" s="135"/>
    </row>
    <row r="103" spans="1:7" x14ac:dyDescent="0.25">
      <c r="A103" s="131">
        <f t="shared" si="6"/>
        <v>10</v>
      </c>
      <c r="B103" s="4" t="str">
        <f>'Excl URS 3 '!B110</f>
        <v>Auraiya  LNG (NR)</v>
      </c>
      <c r="C103" s="26">
        <f>VLOOKUP(B103,'rate sheet working'!$B$3:$C$158,2,0)</f>
        <v>0</v>
      </c>
      <c r="D103" s="39">
        <f>VLOOKUP(B103,'rate sheet working'!$B$3:$D$158,3,0)</f>
        <v>0</v>
      </c>
      <c r="E103" s="45">
        <f t="shared" si="5"/>
        <v>50</v>
      </c>
      <c r="F103" s="40">
        <f>'Excl URS 3 '!K110</f>
        <v>11.929273906675036</v>
      </c>
      <c r="G103" s="135"/>
    </row>
    <row r="104" spans="1:7" x14ac:dyDescent="0.25">
      <c r="A104" s="131">
        <f t="shared" si="6"/>
        <v>11</v>
      </c>
      <c r="B104" s="4" t="str">
        <f>'Excl URS 3 '!B111</f>
        <v>Anta LNG (NR)</v>
      </c>
      <c r="C104" s="26">
        <f>VLOOKUP(B104,'rate sheet working'!$B$3:$C$158,2,0)</f>
        <v>0</v>
      </c>
      <c r="D104" s="39">
        <f>VLOOKUP(B104,'rate sheet working'!$B$3:$D$158,3,0)</f>
        <v>0</v>
      </c>
      <c r="E104" s="45">
        <f t="shared" si="5"/>
        <v>50</v>
      </c>
      <c r="F104" s="40">
        <f>'Excl URS 3 '!K111</f>
        <v>11.786984724837833</v>
      </c>
      <c r="G104" s="135"/>
    </row>
    <row r="105" spans="1:7" x14ac:dyDescent="0.25">
      <c r="A105" s="131">
        <f t="shared" si="6"/>
        <v>12</v>
      </c>
      <c r="B105" s="4" t="str">
        <f>'Excl URS 3 '!B112</f>
        <v>Dadri LNG (NR)</v>
      </c>
      <c r="C105" s="26">
        <f>VLOOKUP(B105,'rate sheet working'!$B$3:$C$158,2,0)</f>
        <v>0</v>
      </c>
      <c r="D105" s="39">
        <f>VLOOKUP(B105,'rate sheet working'!$B$3:$D$158,3,0)</f>
        <v>0</v>
      </c>
      <c r="E105" s="45">
        <f t="shared" si="5"/>
        <v>50</v>
      </c>
      <c r="F105" s="40">
        <f>'Excl URS 3 '!K112</f>
        <v>11.361163423310316</v>
      </c>
      <c r="G105" s="135"/>
    </row>
    <row r="106" spans="1:7" x14ac:dyDescent="0.25">
      <c r="A106" s="131">
        <f t="shared" si="6"/>
        <v>13</v>
      </c>
      <c r="B106" s="4" t="str">
        <f>'Excl URS 3 '!B113</f>
        <v>KAWAS (LNG)</v>
      </c>
      <c r="C106" s="26">
        <f>VLOOKUP(B106,'rate sheet working'!$B$3:$C$158,2,0)</f>
        <v>0</v>
      </c>
      <c r="D106" s="39">
        <f>VLOOKUP(B106,'rate sheet working'!$B$3:$D$158,3,0)</f>
        <v>0</v>
      </c>
      <c r="E106" s="45">
        <f t="shared" si="5"/>
        <v>50</v>
      </c>
      <c r="F106" s="40">
        <f>'Excl URS 3 '!K113</f>
        <v>10.020924879681941</v>
      </c>
      <c r="G106" s="135"/>
    </row>
    <row r="107" spans="1:7" x14ac:dyDescent="0.25">
      <c r="A107" s="131">
        <f t="shared" si="6"/>
        <v>14</v>
      </c>
      <c r="B107" s="4" t="str">
        <f>'Excl URS 3 '!B114</f>
        <v>Anta CLNG (NR)</v>
      </c>
      <c r="C107" s="26">
        <f>VLOOKUP(B107,'rate sheet working'!$B$3:$C$158,2,0)</f>
        <v>0</v>
      </c>
      <c r="D107" s="39">
        <f>VLOOKUP(B107,'rate sheet working'!$B$3:$D$158,3,0)</f>
        <v>0</v>
      </c>
      <c r="E107" s="45">
        <f t="shared" si="5"/>
        <v>50</v>
      </c>
      <c r="F107" s="40">
        <f>'Excl URS 3 '!K114</f>
        <v>9.613935969868173</v>
      </c>
      <c r="G107" s="135"/>
    </row>
    <row r="108" spans="1:7" x14ac:dyDescent="0.25">
      <c r="A108" s="131">
        <f t="shared" si="6"/>
        <v>15</v>
      </c>
      <c r="B108" s="4" t="str">
        <f>'Excl URS 3 '!B115</f>
        <v>KAWAS (CLNG)</v>
      </c>
      <c r="C108" s="26">
        <f>VLOOKUP(B108,'rate sheet working'!$B$3:$C$158,2,0)</f>
        <v>0</v>
      </c>
      <c r="D108" s="39">
        <f>VLOOKUP(B108,'rate sheet working'!$B$3:$D$158,3,0)</f>
        <v>0</v>
      </c>
      <c r="E108" s="45">
        <f t="shared" si="5"/>
        <v>50</v>
      </c>
      <c r="F108" s="40">
        <f>'Excl URS 3 '!K115</f>
        <v>9.3680686336053576</v>
      </c>
      <c r="G108" s="135"/>
    </row>
    <row r="109" spans="1:7" x14ac:dyDescent="0.25">
      <c r="A109" s="131">
        <f t="shared" si="6"/>
        <v>16</v>
      </c>
      <c r="B109" s="4" t="str">
        <f>'Excl URS 3 '!B116</f>
        <v>GANDHAR (CLNG)</v>
      </c>
      <c r="C109" s="26">
        <f>VLOOKUP(B109,'rate sheet working'!$B$3:$C$158,2,0)</f>
        <v>0</v>
      </c>
      <c r="D109" s="39">
        <f>VLOOKUP(B109,'rate sheet working'!$B$3:$D$158,3,0)</f>
        <v>0</v>
      </c>
      <c r="E109" s="45">
        <f t="shared" si="5"/>
        <v>50</v>
      </c>
      <c r="F109" s="40">
        <f>'Excl URS 3 '!K116</f>
        <v>9.3272651182255704</v>
      </c>
      <c r="G109" s="135"/>
    </row>
    <row r="110" spans="1:7" x14ac:dyDescent="0.25">
      <c r="A110" s="131">
        <f t="shared" si="6"/>
        <v>17</v>
      </c>
      <c r="B110" s="4" t="str">
        <f>'Excl URS 3 '!B117</f>
        <v>Torrent (Indigenous)</v>
      </c>
      <c r="C110" s="26">
        <f>VLOOKUP(B110,'rate sheet working'!$B$3:$C$158,2,0)</f>
        <v>1115.9438</v>
      </c>
      <c r="D110" s="39">
        <f>VLOOKUP(B110,'rate sheet working'!$B$3:$D$158,3,0)</f>
        <v>50</v>
      </c>
      <c r="E110" s="45">
        <f t="shared" si="5"/>
        <v>50</v>
      </c>
      <c r="F110" s="40">
        <f>'Excl URS 3 '!K117</f>
        <v>7.6779451768152338</v>
      </c>
      <c r="G110" s="135"/>
    </row>
    <row r="111" spans="1:7" x14ac:dyDescent="0.25">
      <c r="A111" s="132"/>
      <c r="B111" s="38"/>
      <c r="C111" s="47"/>
      <c r="D111" s="42"/>
      <c r="E111" s="48"/>
      <c r="F111" s="49"/>
      <c r="G111" s="135"/>
    </row>
    <row r="112" spans="1:7" x14ac:dyDescent="0.25">
      <c r="A112" s="132"/>
      <c r="B112" s="137" t="s">
        <v>51</v>
      </c>
      <c r="C112" s="132"/>
      <c r="D112" s="132"/>
      <c r="E112" s="132"/>
      <c r="F112" s="138"/>
      <c r="G112" s="134"/>
    </row>
    <row r="113" spans="1:7" ht="42.75" customHeight="1" x14ac:dyDescent="0.25">
      <c r="A113" s="217" t="s">
        <v>0</v>
      </c>
      <c r="B113" s="217" t="s">
        <v>1</v>
      </c>
      <c r="C113" s="217" t="s">
        <v>52</v>
      </c>
      <c r="D113" s="41"/>
      <c r="E113" s="41"/>
      <c r="F113" s="41"/>
      <c r="G113" s="134"/>
    </row>
    <row r="114" spans="1:7" x14ac:dyDescent="0.25">
      <c r="A114" s="131">
        <v>1</v>
      </c>
      <c r="B114" s="4" t="str">
        <f>'URS 4'!B6</f>
        <v>KAWAS (NAPM)</v>
      </c>
      <c r="C114" s="139">
        <f>'URS 4'!M6</f>
        <v>38.133685384541828</v>
      </c>
      <c r="D114" s="133"/>
      <c r="E114" s="133"/>
      <c r="G114" s="134"/>
    </row>
    <row r="115" spans="1:7" x14ac:dyDescent="0.25">
      <c r="A115" s="131">
        <f>A114+1</f>
        <v>2</v>
      </c>
      <c r="B115" s="4" t="str">
        <f>'URS 4'!B7</f>
        <v>GANDHAR (NAPM)</v>
      </c>
      <c r="C115" s="139">
        <f>'URS 4'!M7</f>
        <v>32.138868946598393</v>
      </c>
      <c r="D115" s="133"/>
      <c r="E115" s="133"/>
      <c r="G115" s="134"/>
    </row>
    <row r="116" spans="1:7" x14ac:dyDescent="0.25">
      <c r="A116" s="131">
        <f t="shared" ref="A116:A165" si="7">A115+1</f>
        <v>3</v>
      </c>
      <c r="B116" s="4" t="str">
        <f>'URS 4'!B8</f>
        <v>KAWAS (Liquid)</v>
      </c>
      <c r="C116" s="139">
        <f>'URS 4'!M8</f>
        <v>26.013995072761119</v>
      </c>
      <c r="D116" s="133"/>
      <c r="E116" s="133"/>
      <c r="G116" s="134"/>
    </row>
    <row r="117" spans="1:7" x14ac:dyDescent="0.25">
      <c r="A117" s="131">
        <f t="shared" si="7"/>
        <v>4</v>
      </c>
      <c r="B117" s="4" t="str">
        <f>'URS 4'!B9</f>
        <v>Dadri Liquid (NR)</v>
      </c>
      <c r="C117" s="139">
        <f>'URS 4'!M9</f>
        <v>25.507635950205763</v>
      </c>
      <c r="D117" s="133"/>
      <c r="E117" s="133"/>
      <c r="G117" s="134"/>
    </row>
    <row r="118" spans="1:7" x14ac:dyDescent="0.25">
      <c r="A118" s="131">
        <f t="shared" si="7"/>
        <v>5</v>
      </c>
      <c r="B118" s="4" t="str">
        <f>'URS 4'!B10</f>
        <v>Auraiya  Liquid (NR)</v>
      </c>
      <c r="C118" s="139">
        <f>'URS 4'!M10</f>
        <v>20.188253818790542</v>
      </c>
      <c r="D118" s="133"/>
      <c r="E118" s="133"/>
      <c r="G118" s="134"/>
    </row>
    <row r="119" spans="1:7" x14ac:dyDescent="0.25">
      <c r="A119" s="131">
        <f t="shared" si="7"/>
        <v>6</v>
      </c>
      <c r="B119" s="4" t="str">
        <f>'URS 4'!B11</f>
        <v>Anta Liquid (NR)</v>
      </c>
      <c r="C119" s="139">
        <f>'URS 4'!M11</f>
        <v>19.016177233730907</v>
      </c>
      <c r="D119" s="133"/>
      <c r="E119" s="133"/>
      <c r="G119" s="134"/>
    </row>
    <row r="120" spans="1:7" x14ac:dyDescent="0.25">
      <c r="A120" s="131">
        <f t="shared" si="7"/>
        <v>7</v>
      </c>
      <c r="B120" s="4" t="str">
        <f>'URS 4'!B12</f>
        <v>GANDHAR (LNG)</v>
      </c>
      <c r="C120" s="139">
        <f>'URS 4'!M12</f>
        <v>14.695889243731687</v>
      </c>
      <c r="D120" s="133"/>
      <c r="E120" s="133"/>
      <c r="G120" s="134"/>
    </row>
    <row r="121" spans="1:7" x14ac:dyDescent="0.25">
      <c r="A121" s="131">
        <f t="shared" si="7"/>
        <v>8</v>
      </c>
      <c r="B121" s="4" t="str">
        <f>'URS 4'!B13</f>
        <v>Auraiya  CLNG (NR)</v>
      </c>
      <c r="C121" s="139">
        <f>'URS 4'!M13</f>
        <v>13.470321196903118</v>
      </c>
      <c r="D121" s="133"/>
      <c r="E121" s="133"/>
      <c r="G121" s="134"/>
    </row>
    <row r="122" spans="1:7" x14ac:dyDescent="0.25">
      <c r="A122" s="131">
        <f t="shared" si="7"/>
        <v>9</v>
      </c>
      <c r="B122" s="4" t="str">
        <f>'URS 4'!B14</f>
        <v>Dadri  Comm LNG (NR)</v>
      </c>
      <c r="C122" s="139">
        <f>'URS 4'!M14</f>
        <v>12.75287554007812</v>
      </c>
      <c r="D122" s="133"/>
      <c r="E122" s="133"/>
      <c r="G122" s="134"/>
    </row>
    <row r="123" spans="1:7" x14ac:dyDescent="0.25">
      <c r="A123" s="131">
        <f t="shared" si="7"/>
        <v>10</v>
      </c>
      <c r="B123" s="4" t="str">
        <f>'URS 4'!B15</f>
        <v>Auraiya  LNG (NR)</v>
      </c>
      <c r="C123" s="139">
        <f>'URS 4'!M15</f>
        <v>12.564273906675036</v>
      </c>
      <c r="D123" s="133"/>
      <c r="E123" s="133"/>
      <c r="G123" s="134"/>
    </row>
    <row r="124" spans="1:7" ht="17.25" customHeight="1" x14ac:dyDescent="0.25">
      <c r="A124" s="131">
        <f t="shared" si="7"/>
        <v>11</v>
      </c>
      <c r="B124" s="4" t="str">
        <f>'URS 4'!B16</f>
        <v>Anta LNG (NR)</v>
      </c>
      <c r="C124" s="139">
        <f>'URS 4'!M16</f>
        <v>12.495984724837832</v>
      </c>
      <c r="D124" s="133"/>
      <c r="E124" s="133"/>
    </row>
    <row r="125" spans="1:7" ht="15.75" customHeight="1" x14ac:dyDescent="0.25">
      <c r="A125" s="131">
        <f t="shared" si="7"/>
        <v>12</v>
      </c>
      <c r="B125" s="4" t="str">
        <f>'URS 4'!B17</f>
        <v>Dadri LNG (NR)</v>
      </c>
      <c r="C125" s="139">
        <f>'URS 4'!M17</f>
        <v>11.890770497182118</v>
      </c>
      <c r="D125" s="133"/>
      <c r="E125" s="133"/>
    </row>
    <row r="126" spans="1:7" x14ac:dyDescent="0.25">
      <c r="A126" s="131">
        <f t="shared" si="7"/>
        <v>13</v>
      </c>
      <c r="B126" s="4" t="str">
        <f>'URS 4'!B18</f>
        <v>KAWAS (LNG)</v>
      </c>
      <c r="C126" s="139">
        <f>'URS 4'!M18</f>
        <v>10.880075842796691</v>
      </c>
      <c r="D126" s="133"/>
      <c r="E126" s="133"/>
    </row>
    <row r="127" spans="1:7" ht="15" customHeight="1" x14ac:dyDescent="0.25">
      <c r="A127" s="131">
        <f t="shared" si="7"/>
        <v>14</v>
      </c>
      <c r="B127" s="13" t="str">
        <f>'URS 4'!B19</f>
        <v>GANDHAR (CLNG)</v>
      </c>
      <c r="C127" s="139">
        <f>'URS 4'!M19</f>
        <v>10.373855345426602</v>
      </c>
      <c r="D127" s="133"/>
      <c r="E127" s="133"/>
    </row>
    <row r="128" spans="1:7" x14ac:dyDescent="0.25">
      <c r="A128" s="131">
        <f t="shared" si="7"/>
        <v>15</v>
      </c>
      <c r="B128" s="4" t="str">
        <f>'URS 4'!B20</f>
        <v>Anta CLNG (NR)</v>
      </c>
      <c r="C128" s="139">
        <f>'URS 4'!M20</f>
        <v>10.322935969868173</v>
      </c>
      <c r="D128" s="133"/>
      <c r="E128" s="133"/>
    </row>
    <row r="129" spans="1:3" x14ac:dyDescent="0.25">
      <c r="A129" s="131">
        <f t="shared" si="7"/>
        <v>16</v>
      </c>
      <c r="B129" s="4" t="str">
        <f>'URS 4'!B21</f>
        <v>KAWAS (CLNG)</v>
      </c>
      <c r="C129" s="139">
        <f>'URS 4'!M21</f>
        <v>10.227219596720108</v>
      </c>
    </row>
    <row r="130" spans="1:3" ht="30" customHeight="1" x14ac:dyDescent="0.25">
      <c r="A130" s="131">
        <f t="shared" si="7"/>
        <v>17</v>
      </c>
      <c r="B130" s="13" t="str">
        <f>'URS 4'!B22</f>
        <v>Ghatampur Thermal Power Station (NUPPL)</v>
      </c>
      <c r="C130" s="139">
        <f>'URS 4'!M22</f>
        <v>6.9660925868580303</v>
      </c>
    </row>
    <row r="131" spans="1:3" x14ac:dyDescent="0.25">
      <c r="A131" s="131">
        <f t="shared" si="7"/>
        <v>18</v>
      </c>
      <c r="B131" s="4" t="str">
        <f>'URS 4'!B23</f>
        <v>Solapur I</v>
      </c>
      <c r="C131" s="139">
        <f>'URS 4'!M23</f>
        <v>6.2375045239865843</v>
      </c>
    </row>
    <row r="132" spans="1:3" x14ac:dyDescent="0.25">
      <c r="A132" s="131">
        <v>19</v>
      </c>
      <c r="B132" s="13" t="str">
        <f>'URS 4'!B24</f>
        <v>Gadarwara</v>
      </c>
      <c r="C132" s="139">
        <f>'URS 4'!M24</f>
        <v>6.2158559318480435</v>
      </c>
    </row>
    <row r="133" spans="1:3" x14ac:dyDescent="0.25">
      <c r="A133" s="131">
        <f>A134+1</f>
        <v>22</v>
      </c>
      <c r="B133" s="4" t="str">
        <f>'URS 4'!B25</f>
        <v>Indira Gandhi STPS (Jhajjar) (NR)</v>
      </c>
      <c r="C133" s="139">
        <f>'URS 4'!M25</f>
        <v>5.9427160493827156</v>
      </c>
    </row>
    <row r="134" spans="1:3" x14ac:dyDescent="0.25">
      <c r="A134" s="131">
        <v>21</v>
      </c>
      <c r="B134" s="4" t="str">
        <f>'URS 4'!B26</f>
        <v>Khargone</v>
      </c>
      <c r="C134" s="139">
        <f>'URS 4'!M26</f>
        <v>5.6628944690277176</v>
      </c>
    </row>
    <row r="135" spans="1:3" x14ac:dyDescent="0.25">
      <c r="A135" s="131">
        <v>22</v>
      </c>
      <c r="B135" s="4" t="str">
        <f>'URS 4'!B27</f>
        <v>Unchahar II (NR)</v>
      </c>
      <c r="C135" s="139">
        <f>'URS 4'!M27</f>
        <v>5.5651799720675337</v>
      </c>
    </row>
    <row r="136" spans="1:3" x14ac:dyDescent="0.25">
      <c r="A136" s="131">
        <f t="shared" si="7"/>
        <v>23</v>
      </c>
      <c r="B136" s="4" t="str">
        <f>'URS 4'!B28</f>
        <v>Meja (NR)</v>
      </c>
      <c r="C136" s="139">
        <f>'URS 4'!M28</f>
        <v>5.3526349089502556</v>
      </c>
    </row>
    <row r="137" spans="1:3" x14ac:dyDescent="0.25">
      <c r="A137" s="131">
        <f t="shared" si="7"/>
        <v>24</v>
      </c>
      <c r="B137" s="4" t="str">
        <f>'URS 4'!B29</f>
        <v>Unchahar IV (NR)</v>
      </c>
      <c r="C137" s="139">
        <f>'URS 4'!M29</f>
        <v>5.2087988100890197</v>
      </c>
    </row>
    <row r="138" spans="1:3" x14ac:dyDescent="0.25">
      <c r="A138" s="131">
        <f t="shared" si="7"/>
        <v>25</v>
      </c>
      <c r="B138" s="4" t="str">
        <f>'URS 4'!B30</f>
        <v>Tanda II</v>
      </c>
      <c r="C138" s="139">
        <f>'URS 4'!M30</f>
        <v>5.0483223707215279</v>
      </c>
    </row>
    <row r="139" spans="1:3" x14ac:dyDescent="0.25">
      <c r="A139" s="131">
        <v>26</v>
      </c>
      <c r="B139" s="4" t="str">
        <f>'URS 4'!B31</f>
        <v>Mauda-I</v>
      </c>
      <c r="C139" s="139">
        <f>'URS 4'!M31</f>
        <v>5.030675548910609</v>
      </c>
    </row>
    <row r="140" spans="1:3" x14ac:dyDescent="0.25">
      <c r="A140" s="131">
        <v>27</v>
      </c>
      <c r="B140" s="4" t="str">
        <f>'URS 4'!B32</f>
        <v>Mauda-II</v>
      </c>
      <c r="C140" s="139">
        <f>'URS 4'!M32</f>
        <v>4.913453527453715</v>
      </c>
    </row>
    <row r="141" spans="1:3" ht="27" customHeight="1" x14ac:dyDescent="0.25">
      <c r="A141" s="131">
        <f t="shared" si="7"/>
        <v>28</v>
      </c>
      <c r="B141" s="13" t="str">
        <f>'URS 4'!B33</f>
        <v>Unchahar III (NR)</v>
      </c>
      <c r="C141" s="139">
        <f>'URS 4'!M33</f>
        <v>4.8979636353102851</v>
      </c>
    </row>
    <row r="142" spans="1:3" ht="25.5" x14ac:dyDescent="0.25">
      <c r="A142" s="131">
        <v>29</v>
      </c>
      <c r="B142" s="13" t="str">
        <f>'URS 4'!B34</f>
        <v>National Capital Thermal Power Station Dadri II (NR)</v>
      </c>
      <c r="C142" s="139">
        <f>'URS 4'!M34</f>
        <v>4.7761958107163123</v>
      </c>
    </row>
    <row r="143" spans="1:3" x14ac:dyDescent="0.25">
      <c r="A143" s="131">
        <f t="shared" si="7"/>
        <v>30</v>
      </c>
      <c r="B143" s="4" t="str">
        <f>'URS 4'!B35</f>
        <v>Unchahar I (NR)</v>
      </c>
      <c r="C143" s="139">
        <f>'URS 4'!M35</f>
        <v>4.7451451632500623</v>
      </c>
    </row>
    <row r="144" spans="1:3" x14ac:dyDescent="0.25">
      <c r="A144" s="131">
        <f t="shared" si="7"/>
        <v>31</v>
      </c>
      <c r="B144" s="4" t="str">
        <f>'URS 4'!B36</f>
        <v>VSTPS-IV</v>
      </c>
      <c r="C144" s="139">
        <f>'URS 4'!M36</f>
        <v>3.9688672681326591</v>
      </c>
    </row>
    <row r="145" spans="1:3" x14ac:dyDescent="0.25">
      <c r="A145" s="131">
        <f t="shared" si="7"/>
        <v>32</v>
      </c>
      <c r="B145" s="4" t="str">
        <f>'URS 4'!B37</f>
        <v>VSTPS-V</v>
      </c>
      <c r="C145" s="139">
        <f>'URS 4'!M37</f>
        <v>3.8929622016391194</v>
      </c>
    </row>
    <row r="146" spans="1:3" x14ac:dyDescent="0.25">
      <c r="A146" s="131">
        <f t="shared" si="7"/>
        <v>33</v>
      </c>
      <c r="B146" s="4" t="str">
        <f>'URS 4'!B38</f>
        <v>KAHALGAON-II</v>
      </c>
      <c r="C146" s="139">
        <f>'URS 4'!M38</f>
        <v>3.80778909080114</v>
      </c>
    </row>
    <row r="147" spans="1:3" x14ac:dyDescent="0.25">
      <c r="A147" s="131">
        <f t="shared" si="7"/>
        <v>34</v>
      </c>
      <c r="B147" s="4" t="str">
        <f>'URS 4'!B39</f>
        <v>Lara</v>
      </c>
      <c r="C147" s="139">
        <f>'URS 4'!M39</f>
        <v>3.7189262969569041</v>
      </c>
    </row>
    <row r="148" spans="1:3" x14ac:dyDescent="0.25">
      <c r="A148" s="131">
        <f t="shared" si="7"/>
        <v>35</v>
      </c>
      <c r="B148" s="4" t="str">
        <f>'URS 4'!B40</f>
        <v>Khurja STPP</v>
      </c>
      <c r="C148" s="139">
        <f>'URS 4'!M40</f>
        <v>3.501393000444657</v>
      </c>
    </row>
    <row r="149" spans="1:3" x14ac:dyDescent="0.25">
      <c r="A149" s="131">
        <f t="shared" si="7"/>
        <v>36</v>
      </c>
      <c r="B149" s="4" t="str">
        <f>'URS 4'!B41</f>
        <v>VSTPS-I</v>
      </c>
      <c r="C149" s="139">
        <f>'URS 4'!M41</f>
        <v>3.381360802600021</v>
      </c>
    </row>
    <row r="150" spans="1:3" x14ac:dyDescent="0.25">
      <c r="A150" s="131">
        <f t="shared" si="7"/>
        <v>37</v>
      </c>
      <c r="B150" s="4" t="str">
        <f>'URS 4'!B42</f>
        <v>VSTPS-III</v>
      </c>
      <c r="C150" s="139">
        <f>'URS 4'!M42</f>
        <v>3.2536042828223843</v>
      </c>
    </row>
    <row r="151" spans="1:3" x14ac:dyDescent="0.25">
      <c r="A151" s="131">
        <f t="shared" si="7"/>
        <v>38</v>
      </c>
      <c r="B151" s="4" t="str">
        <f>'URS 4'!B43</f>
        <v>GANDHAR (APM)</v>
      </c>
      <c r="C151" s="139">
        <f>'URS 4'!M43</f>
        <v>3.2416101058367288</v>
      </c>
    </row>
    <row r="152" spans="1:3" x14ac:dyDescent="0.25">
      <c r="A152" s="131">
        <f t="shared" si="7"/>
        <v>39</v>
      </c>
      <c r="B152" s="4" t="str">
        <f>'URS 4'!B44</f>
        <v>VSTPS-II</v>
      </c>
      <c r="C152" s="139">
        <f>'URS 4'!M44</f>
        <v>3.1544140237631852</v>
      </c>
    </row>
    <row r="153" spans="1:3" x14ac:dyDescent="0.25">
      <c r="A153" s="131">
        <f t="shared" si="7"/>
        <v>40</v>
      </c>
      <c r="B153" s="4" t="str">
        <f>'URS 4'!B45</f>
        <v>Rihand III (NR)</v>
      </c>
      <c r="C153" s="139">
        <f>'URS 4'!M45</f>
        <v>3.1025983816421823</v>
      </c>
    </row>
    <row r="154" spans="1:3" ht="15" customHeight="1" x14ac:dyDescent="0.25">
      <c r="A154" s="131">
        <f t="shared" si="7"/>
        <v>41</v>
      </c>
      <c r="B154" s="13" t="str">
        <f>'URS 4'!B46</f>
        <v>Auraiya  APM (NR)</v>
      </c>
      <c r="C154" s="139">
        <f>'URS 4'!M46</f>
        <v>2.8164187068424358</v>
      </c>
    </row>
    <row r="155" spans="1:3" x14ac:dyDescent="0.25">
      <c r="A155" s="131">
        <f t="shared" si="7"/>
        <v>42</v>
      </c>
      <c r="B155" s="4" t="str">
        <f>'URS 4'!B47</f>
        <v>Singrauli (NR)</v>
      </c>
      <c r="C155" s="139">
        <f>'URS 4'!M47</f>
        <v>2.815635348256647</v>
      </c>
    </row>
    <row r="156" spans="1:3" x14ac:dyDescent="0.25">
      <c r="A156" s="131">
        <f t="shared" si="7"/>
        <v>43</v>
      </c>
      <c r="B156" s="4" t="str">
        <f>'URS 4'!B48</f>
        <v>Anta APM (NR)</v>
      </c>
      <c r="C156" s="139">
        <f>'URS 4'!M48</f>
        <v>2.8067191881146685</v>
      </c>
    </row>
    <row r="157" spans="1:3" x14ac:dyDescent="0.25">
      <c r="A157" s="131">
        <f t="shared" si="7"/>
        <v>44</v>
      </c>
      <c r="B157" s="4" t="str">
        <f>'URS 4'!B49</f>
        <v>Dadri APM (NR)</v>
      </c>
      <c r="C157" s="139">
        <f>'URS 4'!M49</f>
        <v>2.6744072412708393</v>
      </c>
    </row>
    <row r="158" spans="1:3" x14ac:dyDescent="0.25">
      <c r="A158" s="131">
        <f t="shared" si="7"/>
        <v>45</v>
      </c>
      <c r="B158" s="4" t="str">
        <f>'URS 4'!B50</f>
        <v>SIPAT I</v>
      </c>
      <c r="C158" s="139">
        <f>'URS 4'!M50</f>
        <v>2.6676401766176605</v>
      </c>
    </row>
    <row r="159" spans="1:3" x14ac:dyDescent="0.25">
      <c r="A159" s="131">
        <f t="shared" si="7"/>
        <v>46</v>
      </c>
      <c r="B159" s="4" t="str">
        <f>'URS 4'!B51</f>
        <v>KSTPS-III</v>
      </c>
      <c r="C159" s="139">
        <f>'URS 4'!M51</f>
        <v>2.5924101129719546</v>
      </c>
    </row>
    <row r="160" spans="1:3" x14ac:dyDescent="0.25">
      <c r="A160" s="131">
        <f t="shared" si="7"/>
        <v>47</v>
      </c>
      <c r="B160" s="4" t="str">
        <f>'URS 4'!B52</f>
        <v>KAWAS (APM)</v>
      </c>
      <c r="C160" s="139">
        <f>'URS 4'!M52</f>
        <v>2.5300026057178058</v>
      </c>
    </row>
    <row r="161" spans="1:3" x14ac:dyDescent="0.25">
      <c r="A161" s="131">
        <f t="shared" si="7"/>
        <v>48</v>
      </c>
      <c r="B161" s="4" t="str">
        <f>'URS 4'!B53</f>
        <v>Rihand I (NR)</v>
      </c>
      <c r="C161" s="139">
        <f>'URS 4'!M53</f>
        <v>2.4981991814540128</v>
      </c>
    </row>
    <row r="162" spans="1:3" x14ac:dyDescent="0.25">
      <c r="A162" s="131">
        <f t="shared" si="7"/>
        <v>49</v>
      </c>
      <c r="B162" s="4" t="str">
        <f>'URS 4'!B54</f>
        <v>Rihand II (NR)</v>
      </c>
      <c r="C162" s="139">
        <f>'URS 4'!M54</f>
        <v>2.4345065159760111</v>
      </c>
    </row>
    <row r="163" spans="1:3" x14ac:dyDescent="0.25">
      <c r="A163" s="131">
        <f t="shared" si="7"/>
        <v>50</v>
      </c>
      <c r="B163" s="4" t="str">
        <f>'URS 4'!B55</f>
        <v>SIPAT II</v>
      </c>
      <c r="C163" s="139">
        <f>'URS 4'!M55</f>
        <v>2.4007889193462928</v>
      </c>
    </row>
    <row r="164" spans="1:3" ht="14.25" customHeight="1" x14ac:dyDescent="0.25">
      <c r="A164" s="131">
        <f t="shared" si="7"/>
        <v>51</v>
      </c>
      <c r="B164" s="13" t="str">
        <f>'URS 4'!B56</f>
        <v>KSTPS</v>
      </c>
      <c r="C164" s="139">
        <f>'URS 4'!M56</f>
        <v>2.2661005273326751</v>
      </c>
    </row>
    <row r="165" spans="1:3" x14ac:dyDescent="0.25">
      <c r="A165" s="131">
        <f t="shared" si="7"/>
        <v>52</v>
      </c>
      <c r="B165" s="4" t="str">
        <f>'URS 4'!B57</f>
        <v>Sasan</v>
      </c>
      <c r="C165" s="139">
        <f>'URS 4'!M57</f>
        <v>1.7217393023263659</v>
      </c>
    </row>
  </sheetData>
  <sheetProtection selectLockedCells="1"/>
  <autoFilter ref="A4:G60"/>
  <sortState ref="B5:F78">
    <sortCondition descending="1" ref="F5:F78"/>
  </sortState>
  <mergeCells count="6">
    <mergeCell ref="A3:G3"/>
    <mergeCell ref="G62:G90"/>
    <mergeCell ref="B92:F92"/>
    <mergeCell ref="B62:F62"/>
    <mergeCell ref="G25:G60"/>
    <mergeCell ref="G5:G24"/>
  </mergeCells>
  <printOptions horizontalCentered="1"/>
  <pageMargins left="0.11811023622047245" right="0.11811023622047245" top="0.19685039370078741" bottom="0.15748031496062992" header="0" footer="0"/>
  <pageSetup paperSize="9" scale="84" orientation="portrait" r:id="rId1"/>
  <rowBreaks count="2" manualBreakCount="2">
    <brk id="60" max="6" man="1"/>
    <brk id="111" max="6"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O185"/>
  <sheetViews>
    <sheetView view="pageBreakPreview" zoomScale="110" zoomScaleSheetLayoutView="110" workbookViewId="0">
      <pane xSplit="2" ySplit="4" topLeftCell="C166" activePane="bottomRight" state="frozen"/>
      <selection activeCell="Y52" sqref="Y52:Y54"/>
      <selection pane="topRight" activeCell="Y52" sqref="Y52:Y54"/>
      <selection pane="bottomLeft" activeCell="Y52" sqref="Y52:Y54"/>
      <selection pane="bottomRight" activeCell="F189" sqref="F189"/>
    </sheetView>
  </sheetViews>
  <sheetFormatPr defaultColWidth="8.85546875" defaultRowHeight="12.75" x14ac:dyDescent="0.25"/>
  <cols>
    <col min="1" max="1" width="4.85546875" style="6" customWidth="1"/>
    <col min="2" max="2" width="25.5703125" style="3" customWidth="1"/>
    <col min="3" max="3" width="12.7109375" style="6" customWidth="1"/>
    <col min="4" max="4" width="8.28515625" style="3" customWidth="1"/>
    <col min="5" max="5" width="10.140625" style="6" customWidth="1"/>
    <col min="6" max="6" width="11.28515625" style="3" customWidth="1"/>
    <col min="7" max="7" width="12.28515625" style="3" customWidth="1"/>
    <col min="8" max="9" width="9.7109375" style="3" customWidth="1"/>
    <col min="10" max="10" width="7.28515625" style="6" customWidth="1"/>
    <col min="11" max="12" width="10.85546875" style="3" customWidth="1"/>
    <col min="13" max="14" width="9.85546875" style="3" customWidth="1"/>
    <col min="15" max="15" width="11.42578125" style="3" customWidth="1"/>
    <col min="16" max="16384" width="8.85546875" style="3"/>
  </cols>
  <sheetData>
    <row r="1" spans="1:15" ht="15.75" customHeight="1" x14ac:dyDescent="0.25">
      <c r="A1" s="234" t="s">
        <v>275</v>
      </c>
      <c r="B1" s="235"/>
      <c r="C1" s="235"/>
      <c r="D1" s="235"/>
      <c r="E1" s="235"/>
      <c r="F1" s="235"/>
      <c r="G1" s="235"/>
      <c r="H1" s="235"/>
      <c r="I1" s="235"/>
      <c r="J1" s="235"/>
      <c r="K1" s="235"/>
      <c r="L1" s="235"/>
      <c r="M1" s="235"/>
      <c r="N1" s="235"/>
      <c r="O1" s="236"/>
    </row>
    <row r="2" spans="1:15" ht="13.9" customHeight="1" x14ac:dyDescent="0.25">
      <c r="A2" s="37" t="s">
        <v>53</v>
      </c>
      <c r="B2" s="237" t="s">
        <v>1</v>
      </c>
      <c r="C2" s="240" t="s">
        <v>99</v>
      </c>
      <c r="D2" s="237" t="s">
        <v>108</v>
      </c>
      <c r="E2" s="237" t="s">
        <v>109</v>
      </c>
      <c r="F2" s="241" t="s">
        <v>195</v>
      </c>
      <c r="G2" s="237" t="s">
        <v>191</v>
      </c>
      <c r="H2" s="237" t="s">
        <v>55</v>
      </c>
      <c r="I2" s="237" t="s">
        <v>234</v>
      </c>
      <c r="J2" s="237" t="s">
        <v>3</v>
      </c>
      <c r="K2" s="237" t="s">
        <v>244</v>
      </c>
      <c r="L2" s="237" t="s">
        <v>97</v>
      </c>
      <c r="M2" s="237" t="s">
        <v>48</v>
      </c>
      <c r="N2" s="237" t="s">
        <v>100</v>
      </c>
      <c r="O2" s="237" t="s">
        <v>52</v>
      </c>
    </row>
    <row r="3" spans="1:15" ht="25.5" customHeight="1" x14ac:dyDescent="0.25">
      <c r="A3" s="37"/>
      <c r="B3" s="238"/>
      <c r="C3" s="240"/>
      <c r="D3" s="238"/>
      <c r="E3" s="238"/>
      <c r="F3" s="242"/>
      <c r="G3" s="239"/>
      <c r="H3" s="238"/>
      <c r="I3" s="238"/>
      <c r="J3" s="238"/>
      <c r="K3" s="238"/>
      <c r="L3" s="238"/>
      <c r="M3" s="238"/>
      <c r="N3" s="238"/>
      <c r="O3" s="238"/>
    </row>
    <row r="4" spans="1:15" ht="39.75" customHeight="1" x14ac:dyDescent="0.25">
      <c r="A4" s="37"/>
      <c r="B4" s="239"/>
      <c r="C4" s="240"/>
      <c r="D4" s="239"/>
      <c r="E4" s="239"/>
      <c r="F4" s="243"/>
      <c r="G4" s="145" t="s">
        <v>4</v>
      </c>
      <c r="H4" s="239"/>
      <c r="I4" s="239"/>
      <c r="J4" s="239"/>
      <c r="K4" s="239"/>
      <c r="L4" s="239"/>
      <c r="M4" s="239"/>
      <c r="N4" s="239"/>
      <c r="O4" s="239"/>
    </row>
    <row r="5" spans="1:15" ht="26.25" customHeight="1" x14ac:dyDescent="0.25">
      <c r="A5" s="145" t="s">
        <v>5</v>
      </c>
      <c r="B5" s="145" t="s">
        <v>6</v>
      </c>
      <c r="C5" s="145" t="s">
        <v>7</v>
      </c>
      <c r="D5" s="145" t="s">
        <v>8</v>
      </c>
      <c r="E5" s="145" t="s">
        <v>9</v>
      </c>
      <c r="F5" s="145" t="s">
        <v>10</v>
      </c>
      <c r="G5" s="145" t="s">
        <v>190</v>
      </c>
      <c r="H5" s="145" t="s">
        <v>189</v>
      </c>
      <c r="I5" s="145" t="s">
        <v>11</v>
      </c>
      <c r="J5" s="145" t="s">
        <v>12</v>
      </c>
      <c r="K5" s="145" t="s">
        <v>13</v>
      </c>
      <c r="L5" s="145" t="s">
        <v>14</v>
      </c>
      <c r="M5" s="145" t="s">
        <v>96</v>
      </c>
      <c r="N5" s="145" t="s">
        <v>235</v>
      </c>
      <c r="O5" s="145" t="s">
        <v>236</v>
      </c>
    </row>
    <row r="6" spans="1:15" s="65" customFormat="1" ht="15.75" hidden="1" customHeight="1" x14ac:dyDescent="0.25">
      <c r="A6" s="180">
        <v>1</v>
      </c>
      <c r="B6" s="63" t="s">
        <v>179</v>
      </c>
      <c r="C6" s="64">
        <v>4.38</v>
      </c>
      <c r="D6" s="181"/>
      <c r="E6" s="64">
        <f>C6+D6</f>
        <v>4.38</v>
      </c>
      <c r="F6" s="178"/>
      <c r="G6" s="64">
        <f t="shared" ref="G6:G69" si="0">E6/((100%-F6))</f>
        <v>4.38</v>
      </c>
      <c r="H6" s="62"/>
      <c r="I6" s="64">
        <f>VLOOKUP(B6,'fixed cost'!$B$4:$R$116,17,0)</f>
        <v>0</v>
      </c>
      <c r="J6" s="62"/>
      <c r="K6" s="62"/>
      <c r="L6" s="62"/>
      <c r="M6" s="62"/>
      <c r="N6" s="62"/>
      <c r="O6" s="64">
        <f t="shared" ref="O6:O69" si="1">SUM(G6:N6)</f>
        <v>4.38</v>
      </c>
    </row>
    <row r="7" spans="1:15" s="57" customFormat="1" ht="15" customHeight="1" x14ac:dyDescent="0.25">
      <c r="A7" s="2">
        <f>A6+1</f>
        <v>2</v>
      </c>
      <c r="B7" s="4" t="s">
        <v>24</v>
      </c>
      <c r="C7" s="1">
        <v>2.0139999999999998</v>
      </c>
      <c r="D7" s="15">
        <v>2E-3</v>
      </c>
      <c r="E7" s="1">
        <f t="shared" ref="E7:E47" si="2">C7+D7</f>
        <v>2.0159999999999996</v>
      </c>
      <c r="F7" s="7"/>
      <c r="G7" s="1">
        <f t="shared" si="0"/>
        <v>2.0159999999999996</v>
      </c>
      <c r="H7" s="2"/>
      <c r="I7" s="1">
        <f>VLOOKUP(B7,'fixed cost'!$B$4:$R$116,17,0)</f>
        <v>0</v>
      </c>
      <c r="J7" s="2"/>
      <c r="K7" s="2"/>
      <c r="L7" s="2"/>
      <c r="M7" s="2"/>
      <c r="N7" s="2"/>
      <c r="O7" s="1">
        <f t="shared" si="1"/>
        <v>2.0159999999999996</v>
      </c>
    </row>
    <row r="8" spans="1:15" s="61" customFormat="1" hidden="1" x14ac:dyDescent="0.25">
      <c r="A8" s="58">
        <v>2</v>
      </c>
      <c r="B8" s="59" t="s">
        <v>24</v>
      </c>
      <c r="C8" s="60">
        <f>C7</f>
        <v>2.0139999999999998</v>
      </c>
      <c r="D8" s="85"/>
      <c r="E8" s="60">
        <f t="shared" si="2"/>
        <v>2.0139999999999998</v>
      </c>
      <c r="F8" s="124"/>
      <c r="G8" s="60">
        <f t="shared" si="0"/>
        <v>2.0139999999999998</v>
      </c>
      <c r="H8" s="58"/>
      <c r="I8" s="60">
        <f>VLOOKUP(B8,'fixed cost'!$B$4:$R$116,17,0)</f>
        <v>0</v>
      </c>
      <c r="J8" s="58"/>
      <c r="K8" s="58"/>
      <c r="L8" s="58"/>
      <c r="M8" s="58"/>
      <c r="N8" s="58">
        <v>0.5</v>
      </c>
      <c r="O8" s="60">
        <f t="shared" si="1"/>
        <v>2.5139999999999998</v>
      </c>
    </row>
    <row r="9" spans="1:15" s="61" customFormat="1" hidden="1" x14ac:dyDescent="0.25">
      <c r="A9" s="146">
        <v>2</v>
      </c>
      <c r="B9" s="147" t="s">
        <v>24</v>
      </c>
      <c r="C9" s="148">
        <f>C8</f>
        <v>2.0139999999999998</v>
      </c>
      <c r="D9" s="149"/>
      <c r="E9" s="148">
        <f t="shared" si="2"/>
        <v>2.0139999999999998</v>
      </c>
      <c r="F9" s="150"/>
      <c r="G9" s="148">
        <f t="shared" si="0"/>
        <v>2.0139999999999998</v>
      </c>
      <c r="H9" s="146"/>
      <c r="I9" s="148">
        <f>VLOOKUP(B9,'fixed cost'!$B$4:$R$116,17,0)</f>
        <v>0</v>
      </c>
      <c r="J9" s="146"/>
      <c r="K9" s="146"/>
      <c r="L9" s="146"/>
      <c r="M9" s="146"/>
      <c r="N9" s="146">
        <v>0.65</v>
      </c>
      <c r="O9" s="148">
        <f t="shared" si="1"/>
        <v>2.6639999999999997</v>
      </c>
    </row>
    <row r="10" spans="1:15" s="99" customFormat="1" ht="15.75" hidden="1" customHeight="1" x14ac:dyDescent="0.25">
      <c r="A10" s="96">
        <v>3</v>
      </c>
      <c r="B10" s="97" t="s">
        <v>42</v>
      </c>
      <c r="C10" s="98">
        <v>0.68</v>
      </c>
      <c r="D10" s="96"/>
      <c r="E10" s="98">
        <f t="shared" si="2"/>
        <v>0.68</v>
      </c>
      <c r="F10" s="96"/>
      <c r="G10" s="98">
        <f t="shared" si="0"/>
        <v>0.68</v>
      </c>
      <c r="H10" s="96"/>
      <c r="I10" s="98">
        <f>VLOOKUP(B10,'fixed cost'!$B$4:$R$116,17,0)</f>
        <v>0</v>
      </c>
      <c r="J10" s="96"/>
      <c r="K10" s="96"/>
      <c r="L10" s="96"/>
      <c r="M10" s="96"/>
      <c r="N10" s="96"/>
      <c r="O10" s="98">
        <f t="shared" si="1"/>
        <v>0.68</v>
      </c>
    </row>
    <row r="11" spans="1:15" s="99" customFormat="1" ht="15.75" hidden="1" customHeight="1" x14ac:dyDescent="0.25">
      <c r="A11" s="96">
        <f>+A10+1</f>
        <v>4</v>
      </c>
      <c r="B11" s="97" t="s">
        <v>44</v>
      </c>
      <c r="C11" s="98">
        <v>0.51600000000000001</v>
      </c>
      <c r="D11" s="96"/>
      <c r="E11" s="98">
        <f t="shared" si="2"/>
        <v>0.51600000000000001</v>
      </c>
      <c r="F11" s="96"/>
      <c r="G11" s="98">
        <f t="shared" si="0"/>
        <v>0.51600000000000001</v>
      </c>
      <c r="H11" s="96"/>
      <c r="I11" s="98">
        <f>VLOOKUP(B11,'fixed cost'!$B$4:$R$116,17,0)</f>
        <v>0</v>
      </c>
      <c r="J11" s="96"/>
      <c r="K11" s="96"/>
      <c r="L11" s="96"/>
      <c r="M11" s="96"/>
      <c r="N11" s="96"/>
      <c r="O11" s="98">
        <f t="shared" si="1"/>
        <v>0.51600000000000001</v>
      </c>
    </row>
    <row r="12" spans="1:15" s="99" customFormat="1" ht="15.75" hidden="1" customHeight="1" x14ac:dyDescent="0.25">
      <c r="A12" s="96">
        <f>+A11+1</f>
        <v>5</v>
      </c>
      <c r="B12" s="97" t="s">
        <v>39</v>
      </c>
      <c r="C12" s="98">
        <v>0.81499999999999995</v>
      </c>
      <c r="D12" s="96"/>
      <c r="E12" s="98">
        <f t="shared" si="2"/>
        <v>0.81499999999999995</v>
      </c>
      <c r="F12" s="96"/>
      <c r="G12" s="98">
        <f t="shared" si="0"/>
        <v>0.81499999999999995</v>
      </c>
      <c r="H12" s="96"/>
      <c r="I12" s="98">
        <f>VLOOKUP(B12,'fixed cost'!$B$4:$R$116,17,0)</f>
        <v>0</v>
      </c>
      <c r="J12" s="96"/>
      <c r="K12" s="96"/>
      <c r="L12" s="96"/>
      <c r="M12" s="96"/>
      <c r="N12" s="96"/>
      <c r="O12" s="98">
        <f t="shared" si="1"/>
        <v>0.81499999999999995</v>
      </c>
    </row>
    <row r="13" spans="1:15" s="99" customFormat="1" ht="15.75" hidden="1" customHeight="1" x14ac:dyDescent="0.25">
      <c r="A13" s="96">
        <f>+A12+1</f>
        <v>6</v>
      </c>
      <c r="B13" s="97" t="s">
        <v>47</v>
      </c>
      <c r="C13" s="98">
        <v>0.183</v>
      </c>
      <c r="D13" s="96"/>
      <c r="E13" s="98">
        <f t="shared" si="2"/>
        <v>0.183</v>
      </c>
      <c r="F13" s="96"/>
      <c r="G13" s="98">
        <f t="shared" si="0"/>
        <v>0.183</v>
      </c>
      <c r="H13" s="96"/>
      <c r="I13" s="98">
        <f>VLOOKUP(B13,'fixed cost'!$B$4:$R$116,17,0)</f>
        <v>0</v>
      </c>
      <c r="J13" s="96"/>
      <c r="K13" s="96"/>
      <c r="L13" s="96"/>
      <c r="M13" s="96"/>
      <c r="N13" s="96"/>
      <c r="O13" s="98">
        <f t="shared" si="1"/>
        <v>0.183</v>
      </c>
    </row>
    <row r="14" spans="1:15" s="99" customFormat="1" ht="15.75" hidden="1" customHeight="1" x14ac:dyDescent="0.25">
      <c r="A14" s="96">
        <f>+A13+1</f>
        <v>7</v>
      </c>
      <c r="B14" s="97" t="s">
        <v>41</v>
      </c>
      <c r="C14" s="98">
        <v>0.60599999999999998</v>
      </c>
      <c r="D14" s="96"/>
      <c r="E14" s="98">
        <f t="shared" si="2"/>
        <v>0.60599999999999998</v>
      </c>
      <c r="F14" s="96"/>
      <c r="G14" s="98">
        <f t="shared" si="0"/>
        <v>0.60599999999999998</v>
      </c>
      <c r="H14" s="96"/>
      <c r="I14" s="98">
        <f>VLOOKUP(B14,'fixed cost'!$B$4:$R$116,17,0)</f>
        <v>0</v>
      </c>
      <c r="J14" s="96"/>
      <c r="K14" s="96"/>
      <c r="L14" s="96"/>
      <c r="M14" s="96"/>
      <c r="N14" s="96"/>
      <c r="O14" s="98">
        <f t="shared" si="1"/>
        <v>0.60599999999999998</v>
      </c>
    </row>
    <row r="15" spans="1:15" ht="15" customHeight="1" x14ac:dyDescent="0.25">
      <c r="A15" s="2">
        <v>8</v>
      </c>
      <c r="B15" s="4" t="s">
        <v>279</v>
      </c>
      <c r="C15" s="1">
        <v>4.1050000000000004</v>
      </c>
      <c r="D15" s="1"/>
      <c r="E15" s="1">
        <f t="shared" si="2"/>
        <v>4.1050000000000004</v>
      </c>
      <c r="F15" s="7"/>
      <c r="G15" s="1">
        <f t="shared" si="0"/>
        <v>4.1050000000000004</v>
      </c>
      <c r="H15" s="5">
        <v>0.15</v>
      </c>
      <c r="I15" s="1">
        <f>VLOOKUP(B15,'fixed cost'!$B$4:$R$116,17,0)</f>
        <v>8.0009999999999998E-2</v>
      </c>
      <c r="J15" s="2"/>
      <c r="K15" s="2"/>
      <c r="L15" s="2"/>
      <c r="M15" s="2"/>
      <c r="N15" s="2"/>
      <c r="O15" s="1">
        <f t="shared" si="1"/>
        <v>4.3350100000000005</v>
      </c>
    </row>
    <row r="16" spans="1:15" s="65" customFormat="1" ht="15.75" hidden="1" customHeight="1" x14ac:dyDescent="0.25">
      <c r="A16" s="62">
        <v>9</v>
      </c>
      <c r="B16" s="63" t="s">
        <v>127</v>
      </c>
      <c r="C16" s="64">
        <v>4.0369999999999999</v>
      </c>
      <c r="D16" s="64"/>
      <c r="E16" s="64">
        <f t="shared" si="2"/>
        <v>4.0369999999999999</v>
      </c>
      <c r="F16" s="178"/>
      <c r="G16" s="64">
        <f t="shared" si="0"/>
        <v>4.0369999999999999</v>
      </c>
      <c r="H16" s="179">
        <v>0.15</v>
      </c>
      <c r="I16" s="64">
        <f>VLOOKUP(B16,'fixed cost'!$B$4:$R$116,17,0)</f>
        <v>8.0009999999999998E-2</v>
      </c>
      <c r="J16" s="62"/>
      <c r="K16" s="62"/>
      <c r="L16" s="62"/>
      <c r="M16" s="62"/>
      <c r="N16" s="62"/>
      <c r="O16" s="64">
        <f t="shared" si="1"/>
        <v>4.26701</v>
      </c>
    </row>
    <row r="17" spans="1:15" s="65" customFormat="1" ht="15.75" hidden="1" customHeight="1" x14ac:dyDescent="0.25">
      <c r="A17" s="62">
        <v>10</v>
      </c>
      <c r="B17" s="63" t="s">
        <v>187</v>
      </c>
      <c r="C17" s="64">
        <v>2.7450000000000001</v>
      </c>
      <c r="D17" s="64"/>
      <c r="E17" s="64">
        <f t="shared" si="2"/>
        <v>2.7450000000000001</v>
      </c>
      <c r="F17" s="178">
        <v>3.5700000000000003E-2</v>
      </c>
      <c r="G17" s="64">
        <f t="shared" si="0"/>
        <v>2.8466244944519339</v>
      </c>
      <c r="H17" s="179"/>
      <c r="I17" s="64">
        <f>VLOOKUP(B17,'fixed cost'!$B$4:$R$116,17,0)</f>
        <v>0</v>
      </c>
      <c r="J17" s="62"/>
      <c r="K17" s="62">
        <v>2.4E-2</v>
      </c>
      <c r="L17" s="62"/>
      <c r="M17" s="62"/>
      <c r="N17" s="62"/>
      <c r="O17" s="64">
        <f t="shared" si="1"/>
        <v>2.8706244944519339</v>
      </c>
    </row>
    <row r="18" spans="1:15" ht="15.75" customHeight="1" x14ac:dyDescent="0.25">
      <c r="A18" s="2">
        <v>11</v>
      </c>
      <c r="B18" s="4" t="s">
        <v>188</v>
      </c>
      <c r="C18" s="1">
        <v>3.5819999999999999</v>
      </c>
      <c r="D18" s="1"/>
      <c r="E18" s="1">
        <f t="shared" si="2"/>
        <v>3.5819999999999999</v>
      </c>
      <c r="F18" s="7">
        <f>F17</f>
        <v>3.5700000000000003E-2</v>
      </c>
      <c r="G18" s="1">
        <f t="shared" si="0"/>
        <v>3.7146116353831791</v>
      </c>
      <c r="H18" s="5"/>
      <c r="I18" s="1">
        <f>VLOOKUP(B18,'fixed cost'!$B$4:$R$116,17,0)</f>
        <v>0</v>
      </c>
      <c r="J18" s="2"/>
      <c r="K18" s="2">
        <v>0</v>
      </c>
      <c r="L18" s="2"/>
      <c r="M18" s="2"/>
      <c r="N18" s="2"/>
      <c r="O18" s="1">
        <f t="shared" si="1"/>
        <v>3.7146116353831791</v>
      </c>
    </row>
    <row r="19" spans="1:15" ht="15.75" customHeight="1" x14ac:dyDescent="0.25">
      <c r="A19" s="2">
        <v>12</v>
      </c>
      <c r="B19" s="4" t="s">
        <v>282</v>
      </c>
      <c r="C19" s="1">
        <v>2.6749999999999998</v>
      </c>
      <c r="D19" s="1"/>
      <c r="E19" s="1">
        <f t="shared" si="2"/>
        <v>2.6749999999999998</v>
      </c>
      <c r="F19" s="7">
        <f t="shared" ref="F19:F29" si="3">F18</f>
        <v>3.5700000000000003E-2</v>
      </c>
      <c r="G19" s="1">
        <f t="shared" si="0"/>
        <v>2.7740329772892252</v>
      </c>
      <c r="H19" s="2">
        <v>0.15</v>
      </c>
      <c r="I19" s="1">
        <f>VLOOKUP(B19,'fixed cost'!$B$4:$R$116,17,0)</f>
        <v>0</v>
      </c>
      <c r="J19" s="5"/>
      <c r="K19" s="1"/>
      <c r="L19" s="1"/>
      <c r="M19" s="2"/>
      <c r="N19" s="2"/>
      <c r="O19" s="1">
        <f t="shared" si="1"/>
        <v>2.9240329772892251</v>
      </c>
    </row>
    <row r="20" spans="1:15" ht="15.75" customHeight="1" x14ac:dyDescent="0.25">
      <c r="A20" s="2">
        <v>13</v>
      </c>
      <c r="B20" s="4" t="s">
        <v>169</v>
      </c>
      <c r="C20">
        <v>4.0229999999999997</v>
      </c>
      <c r="D20" s="9">
        <v>-0.2</v>
      </c>
      <c r="E20" s="1">
        <f t="shared" si="2"/>
        <v>3.8229999999999995</v>
      </c>
      <c r="F20" s="7">
        <f t="shared" si="3"/>
        <v>3.5700000000000003E-2</v>
      </c>
      <c r="G20" s="1">
        <f t="shared" si="0"/>
        <v>3.9645338587576475</v>
      </c>
      <c r="H20" s="2">
        <v>0.15</v>
      </c>
      <c r="I20" s="1">
        <f>VLOOKUP(B20,'fixed cost'!$B$4:$R$116,17,0)</f>
        <v>5.8995000000000006E-2</v>
      </c>
      <c r="J20" s="2"/>
      <c r="K20" s="2"/>
      <c r="L20" s="2"/>
      <c r="M20" s="2"/>
      <c r="N20" s="2"/>
      <c r="O20" s="1">
        <f t="shared" si="1"/>
        <v>4.1735288587576482</v>
      </c>
    </row>
    <row r="21" spans="1:15" s="27" customFormat="1" ht="15.75" hidden="1" customHeight="1" x14ac:dyDescent="0.25">
      <c r="A21" s="66">
        <f>A20+1</f>
        <v>14</v>
      </c>
      <c r="B21" s="46" t="s">
        <v>169</v>
      </c>
      <c r="C21" s="67">
        <f>C20</f>
        <v>4.0229999999999997</v>
      </c>
      <c r="D21" s="68">
        <f>D20</f>
        <v>-0.2</v>
      </c>
      <c r="E21" s="67">
        <f t="shared" si="2"/>
        <v>3.8229999999999995</v>
      </c>
      <c r="F21" s="184">
        <f t="shared" si="3"/>
        <v>3.5700000000000003E-2</v>
      </c>
      <c r="G21" s="67">
        <f t="shared" si="0"/>
        <v>3.9645338587576475</v>
      </c>
      <c r="H21" s="66">
        <f>H20</f>
        <v>0.15</v>
      </c>
      <c r="I21" s="67">
        <f>VLOOKUP(B21,'fixed cost'!$B$4:$R$116,17,0)</f>
        <v>5.8995000000000006E-2</v>
      </c>
      <c r="J21" s="66"/>
      <c r="K21" s="66"/>
      <c r="L21" s="66"/>
      <c r="M21" s="67">
        <f>VLOOKUP(B21,'fixed cost'!$B$4:$H$59,7,0)</f>
        <v>2.0601461379581085</v>
      </c>
      <c r="N21" s="67"/>
      <c r="O21" s="67">
        <f t="shared" si="1"/>
        <v>6.2336749967157568</v>
      </c>
    </row>
    <row r="22" spans="1:15" s="65" customFormat="1" ht="15.75" customHeight="1" x14ac:dyDescent="0.25">
      <c r="A22" s="2">
        <f>A21+1</f>
        <v>15</v>
      </c>
      <c r="B22" s="4" t="s">
        <v>23</v>
      </c>
      <c r="C22" s="1">
        <v>1.595</v>
      </c>
      <c r="D22" s="1"/>
      <c r="E22" s="1">
        <f t="shared" si="2"/>
        <v>1.595</v>
      </c>
      <c r="F22" s="7">
        <f t="shared" si="3"/>
        <v>3.5700000000000003E-2</v>
      </c>
      <c r="G22" s="1">
        <f t="shared" si="0"/>
        <v>1.6540495696360054</v>
      </c>
      <c r="H22" s="2"/>
      <c r="I22" s="1">
        <f>VLOOKUP(B22,'fixed cost'!$B$4:$R$116,17,0)</f>
        <v>0</v>
      </c>
      <c r="J22" s="2"/>
      <c r="K22" s="2"/>
      <c r="L22" s="2"/>
      <c r="M22" s="2"/>
      <c r="N22" s="2"/>
      <c r="O22" s="1">
        <f t="shared" si="1"/>
        <v>1.6540495696360054</v>
      </c>
    </row>
    <row r="23" spans="1:15" s="65" customFormat="1" ht="15.75" hidden="1" customHeight="1" x14ac:dyDescent="0.25">
      <c r="A23" s="66">
        <f t="shared" ref="A23:A46" si="4">A22+1</f>
        <v>16</v>
      </c>
      <c r="B23" s="46" t="s">
        <v>23</v>
      </c>
      <c r="C23" s="67">
        <f>C22</f>
        <v>1.595</v>
      </c>
      <c r="D23" s="68">
        <f>D22</f>
        <v>0</v>
      </c>
      <c r="E23" s="67">
        <f t="shared" si="2"/>
        <v>1.595</v>
      </c>
      <c r="F23" s="184">
        <f t="shared" si="3"/>
        <v>3.5700000000000003E-2</v>
      </c>
      <c r="G23" s="67">
        <f t="shared" si="0"/>
        <v>1.6540495696360054</v>
      </c>
      <c r="H23" s="66"/>
      <c r="I23" s="67">
        <f>VLOOKUP(B23,'fixed cost'!$B$4:$R$116,17,0)</f>
        <v>0</v>
      </c>
      <c r="J23" s="66"/>
      <c r="K23" s="66"/>
      <c r="L23" s="66"/>
      <c r="M23" s="67">
        <f>VLOOKUP(B23,'fixed cost'!$B$4:$H$59,7,0)</f>
        <v>1.046590227201031</v>
      </c>
      <c r="N23" s="67"/>
      <c r="O23" s="67">
        <f t="shared" si="1"/>
        <v>2.7006397968370361</v>
      </c>
    </row>
    <row r="24" spans="1:15" s="65" customFormat="1" ht="15.75" hidden="1" customHeight="1" x14ac:dyDescent="0.25">
      <c r="A24" s="92">
        <f>A23+1</f>
        <v>17</v>
      </c>
      <c r="B24" s="93" t="s">
        <v>181</v>
      </c>
      <c r="C24">
        <v>7.8979999999999997</v>
      </c>
      <c r="D24" s="94"/>
      <c r="E24" s="94">
        <f t="shared" si="2"/>
        <v>7.8979999999999997</v>
      </c>
      <c r="F24" s="173">
        <f t="shared" si="3"/>
        <v>3.5700000000000003E-2</v>
      </c>
      <c r="G24" s="94">
        <f t="shared" si="0"/>
        <v>8.1903971793010459</v>
      </c>
      <c r="H24" s="100"/>
      <c r="I24" s="94">
        <f>VLOOKUP(B24,'fixed cost'!$B$4:$R$116,17,0)</f>
        <v>0</v>
      </c>
      <c r="J24" s="92"/>
      <c r="K24" s="92"/>
      <c r="L24" s="92"/>
      <c r="M24" s="94"/>
      <c r="N24" s="94"/>
      <c r="O24" s="94">
        <f t="shared" si="1"/>
        <v>8.1903971793010459</v>
      </c>
    </row>
    <row r="25" spans="1:15" s="65" customFormat="1" ht="15.75" hidden="1" customHeight="1" x14ac:dyDescent="0.25">
      <c r="A25" s="66">
        <f t="shared" si="4"/>
        <v>18</v>
      </c>
      <c r="B25" s="46" t="s">
        <v>181</v>
      </c>
      <c r="C25" s="67">
        <f>C24</f>
        <v>7.8979999999999997</v>
      </c>
      <c r="D25" s="68">
        <f>D24</f>
        <v>0</v>
      </c>
      <c r="E25" s="67">
        <f t="shared" si="2"/>
        <v>7.8979999999999997</v>
      </c>
      <c r="F25" s="184">
        <f t="shared" si="3"/>
        <v>3.5700000000000003E-2</v>
      </c>
      <c r="G25" s="67">
        <f t="shared" si="0"/>
        <v>8.1903971793010459</v>
      </c>
      <c r="H25" s="66"/>
      <c r="I25" s="67">
        <f>VLOOKUP(B25,'fixed cost'!$B$4:$R$116,17,0)</f>
        <v>0</v>
      </c>
      <c r="J25" s="66"/>
      <c r="K25" s="66"/>
      <c r="L25" s="66"/>
      <c r="M25" s="67">
        <f>VLOOKUP(B25,'fixed cost'!$B$4:$H$59,7,0)</f>
        <v>1.046590227201031</v>
      </c>
      <c r="N25" s="67"/>
      <c r="O25" s="67">
        <f t="shared" si="1"/>
        <v>9.2369874065020774</v>
      </c>
    </row>
    <row r="26" spans="1:15" s="65" customFormat="1" ht="15.75" hidden="1" customHeight="1" x14ac:dyDescent="0.25">
      <c r="A26" s="92">
        <f>A25+1</f>
        <v>19</v>
      </c>
      <c r="B26" s="93" t="s">
        <v>104</v>
      </c>
      <c r="C26">
        <v>10.329000000000001</v>
      </c>
      <c r="D26" s="94"/>
      <c r="E26" s="94">
        <f t="shared" si="2"/>
        <v>10.329000000000001</v>
      </c>
      <c r="F26" s="173">
        <f t="shared" si="3"/>
        <v>3.5700000000000003E-2</v>
      </c>
      <c r="G26" s="94">
        <f t="shared" si="0"/>
        <v>10.711396868194546</v>
      </c>
      <c r="H26" s="100"/>
      <c r="I26" s="94">
        <f>VLOOKUP(B26,'fixed cost'!$B$4:$R$116,17,0)</f>
        <v>0</v>
      </c>
      <c r="J26" s="92"/>
      <c r="K26" s="92"/>
      <c r="L26" s="92"/>
      <c r="M26" s="94"/>
      <c r="N26" s="94"/>
      <c r="O26" s="94">
        <f t="shared" si="1"/>
        <v>10.711396868194546</v>
      </c>
    </row>
    <row r="27" spans="1:15" s="65" customFormat="1" ht="15.75" hidden="1" customHeight="1" x14ac:dyDescent="0.25">
      <c r="A27" s="66">
        <f t="shared" si="4"/>
        <v>20</v>
      </c>
      <c r="B27" s="46" t="s">
        <v>104</v>
      </c>
      <c r="C27" s="67">
        <f>C26</f>
        <v>10.329000000000001</v>
      </c>
      <c r="D27" s="68">
        <f>D26</f>
        <v>0</v>
      </c>
      <c r="E27" s="67">
        <f t="shared" si="2"/>
        <v>10.329000000000001</v>
      </c>
      <c r="F27" s="184">
        <f t="shared" si="3"/>
        <v>3.5700000000000003E-2</v>
      </c>
      <c r="G27" s="67">
        <f t="shared" si="0"/>
        <v>10.711396868194546</v>
      </c>
      <c r="H27" s="66"/>
      <c r="I27" s="67">
        <f>VLOOKUP(B27,'fixed cost'!$B$4:$R$116,17,0)</f>
        <v>0</v>
      </c>
      <c r="J27" s="66"/>
      <c r="K27" s="66"/>
      <c r="L27" s="66"/>
      <c r="M27" s="67">
        <f>VLOOKUP(B27,'fixed cost'!$B$4:$H$59,7,0)</f>
        <v>1.046590227201031</v>
      </c>
      <c r="N27" s="67"/>
      <c r="O27" s="67">
        <f t="shared" si="1"/>
        <v>11.757987095395578</v>
      </c>
    </row>
    <row r="28" spans="1:15" s="65" customFormat="1" ht="15.75" hidden="1" customHeight="1" x14ac:dyDescent="0.25">
      <c r="A28" s="92">
        <f t="shared" si="4"/>
        <v>21</v>
      </c>
      <c r="B28" s="93" t="s">
        <v>17</v>
      </c>
      <c r="C28" s="94">
        <v>29.718</v>
      </c>
      <c r="D28" s="94"/>
      <c r="E28" s="94">
        <f t="shared" si="2"/>
        <v>29.718</v>
      </c>
      <c r="F28" s="173">
        <f t="shared" si="3"/>
        <v>3.5700000000000003E-2</v>
      </c>
      <c r="G28" s="94">
        <f t="shared" si="0"/>
        <v>30.818210100591102</v>
      </c>
      <c r="H28" s="100"/>
      <c r="I28" s="94">
        <f>VLOOKUP(B28,'fixed cost'!$B$4:$R$116,17,0)</f>
        <v>0</v>
      </c>
      <c r="J28" s="92"/>
      <c r="K28" s="92"/>
      <c r="L28" s="92"/>
      <c r="M28" s="94"/>
      <c r="N28" s="94"/>
      <c r="O28" s="94">
        <f t="shared" si="1"/>
        <v>30.818210100591102</v>
      </c>
    </row>
    <row r="29" spans="1:15" s="65" customFormat="1" ht="15.75" hidden="1" customHeight="1" x14ac:dyDescent="0.25">
      <c r="A29" s="66">
        <f t="shared" si="4"/>
        <v>22</v>
      </c>
      <c r="B29" s="46" t="s">
        <v>17</v>
      </c>
      <c r="C29" s="67">
        <f>C28</f>
        <v>29.718</v>
      </c>
      <c r="D29" s="68">
        <f>D28</f>
        <v>0</v>
      </c>
      <c r="E29" s="67">
        <f t="shared" si="2"/>
        <v>29.718</v>
      </c>
      <c r="F29" s="184">
        <f t="shared" si="3"/>
        <v>3.5700000000000003E-2</v>
      </c>
      <c r="G29" s="67">
        <f t="shared" si="0"/>
        <v>30.818210100591102</v>
      </c>
      <c r="H29" s="66"/>
      <c r="I29" s="67">
        <f>VLOOKUP(B29,'fixed cost'!$B$4:$R$116,17,0)</f>
        <v>0</v>
      </c>
      <c r="J29" s="66"/>
      <c r="K29" s="66"/>
      <c r="L29" s="66"/>
      <c r="M29" s="67">
        <f>VLOOKUP(B29,'fixed cost'!$B$4:$H$59,7,0)</f>
        <v>1.046590227201031</v>
      </c>
      <c r="N29" s="67"/>
      <c r="O29" s="67">
        <f t="shared" si="1"/>
        <v>31.864800327792132</v>
      </c>
    </row>
    <row r="30" spans="1:15" s="99" customFormat="1" ht="15.75" hidden="1" customHeight="1" x14ac:dyDescent="0.25">
      <c r="A30" s="96">
        <f t="shared" si="4"/>
        <v>23</v>
      </c>
      <c r="B30" s="97" t="s">
        <v>46</v>
      </c>
      <c r="C30" s="98">
        <v>0.20899999999999999</v>
      </c>
      <c r="D30" s="96"/>
      <c r="E30" s="98">
        <f t="shared" si="2"/>
        <v>0.20899999999999999</v>
      </c>
      <c r="F30" s="96"/>
      <c r="G30" s="98">
        <f t="shared" si="0"/>
        <v>0.20899999999999999</v>
      </c>
      <c r="H30" s="96"/>
      <c r="I30" s="98">
        <f>VLOOKUP(B30,'fixed cost'!$B$4:$R$116,17,0)</f>
        <v>0</v>
      </c>
      <c r="J30" s="96"/>
      <c r="K30" s="96"/>
      <c r="L30" s="96"/>
      <c r="M30" s="96"/>
      <c r="N30" s="96"/>
      <c r="O30" s="98">
        <f t="shared" si="1"/>
        <v>0.20899999999999999</v>
      </c>
    </row>
    <row r="31" spans="1:15" s="99" customFormat="1" ht="15.75" hidden="1" customHeight="1" x14ac:dyDescent="0.25">
      <c r="A31" s="96">
        <f t="shared" si="4"/>
        <v>24</v>
      </c>
      <c r="B31" s="97" t="s">
        <v>59</v>
      </c>
      <c r="C31" s="98">
        <f>((1.983*25)+(2.351*11))/(25+11)</f>
        <v>2.0954444444444444</v>
      </c>
      <c r="D31" s="96"/>
      <c r="E31" s="98">
        <f t="shared" si="2"/>
        <v>2.0954444444444444</v>
      </c>
      <c r="F31" s="96"/>
      <c r="G31" s="98">
        <f t="shared" si="0"/>
        <v>2.0954444444444444</v>
      </c>
      <c r="H31" s="96">
        <v>0.15</v>
      </c>
      <c r="I31" s="98">
        <f>'fixed cost'!R57</f>
        <v>8.8199999999999997E-3</v>
      </c>
      <c r="J31" s="96"/>
      <c r="K31" s="96"/>
      <c r="L31" s="96"/>
      <c r="M31" s="96"/>
      <c r="N31" s="96"/>
      <c r="O31" s="98">
        <f t="shared" si="1"/>
        <v>2.2542644444444444</v>
      </c>
    </row>
    <row r="32" spans="1:15" s="99" customFormat="1" ht="15.75" hidden="1" customHeight="1" x14ac:dyDescent="0.25">
      <c r="A32" s="96">
        <f t="shared" si="4"/>
        <v>25</v>
      </c>
      <c r="B32" s="97" t="s">
        <v>67</v>
      </c>
      <c r="C32" s="98">
        <v>1.51</v>
      </c>
      <c r="D32" s="96"/>
      <c r="E32" s="98">
        <f t="shared" si="2"/>
        <v>1.51</v>
      </c>
      <c r="F32" s="96"/>
      <c r="G32" s="98">
        <f t="shared" si="0"/>
        <v>1.51</v>
      </c>
      <c r="H32" s="96"/>
      <c r="I32" s="98">
        <f>VLOOKUP(B32,'fixed cost'!$B$4:$R$116,17,0)</f>
        <v>0</v>
      </c>
      <c r="J32" s="96"/>
      <c r="K32" s="96"/>
      <c r="L32" s="96"/>
      <c r="M32" s="96"/>
      <c r="N32" s="96"/>
      <c r="O32" s="98">
        <f t="shared" si="1"/>
        <v>1.51</v>
      </c>
    </row>
    <row r="33" spans="1:15" s="57" customFormat="1" ht="15.75" customHeight="1" x14ac:dyDescent="0.25">
      <c r="A33" s="2">
        <f t="shared" si="4"/>
        <v>26</v>
      </c>
      <c r="B33" s="4" t="s">
        <v>98</v>
      </c>
      <c r="C33" s="1">
        <v>2.851</v>
      </c>
      <c r="D33" s="9">
        <v>2.7E-2</v>
      </c>
      <c r="E33" s="1">
        <f t="shared" si="2"/>
        <v>2.8780000000000001</v>
      </c>
      <c r="F33" s="7">
        <f>F29</f>
        <v>3.5700000000000003E-2</v>
      </c>
      <c r="G33" s="1">
        <f t="shared" si="0"/>
        <v>2.9845483770610803</v>
      </c>
      <c r="H33" s="5">
        <v>0.15</v>
      </c>
      <c r="I33" s="1" t="s">
        <v>280</v>
      </c>
      <c r="J33" s="2"/>
      <c r="K33" s="2"/>
      <c r="L33" s="2"/>
      <c r="M33" s="1"/>
      <c r="N33" s="1"/>
      <c r="O33" s="1">
        <f t="shared" si="1"/>
        <v>3.1345483770610802</v>
      </c>
    </row>
    <row r="34" spans="1:15" s="99" customFormat="1" ht="15.75" hidden="1" customHeight="1" x14ac:dyDescent="0.25">
      <c r="A34" s="96">
        <f t="shared" si="4"/>
        <v>27</v>
      </c>
      <c r="B34" s="97" t="s">
        <v>38</v>
      </c>
      <c r="C34" s="98">
        <v>0.60799999999999998</v>
      </c>
      <c r="D34" s="96"/>
      <c r="E34" s="98">
        <f t="shared" si="2"/>
        <v>0.60799999999999998</v>
      </c>
      <c r="F34" s="96"/>
      <c r="G34" s="98">
        <f t="shared" si="0"/>
        <v>0.60799999999999998</v>
      </c>
      <c r="H34" s="96"/>
      <c r="I34" s="98">
        <f>VLOOKUP(B34,'fixed cost'!$B$4:$R$116,17,0)</f>
        <v>0</v>
      </c>
      <c r="J34" s="96"/>
      <c r="K34" s="96"/>
      <c r="L34" s="96"/>
      <c r="M34" s="96"/>
      <c r="N34" s="96"/>
      <c r="O34" s="98">
        <f t="shared" si="1"/>
        <v>0.60799999999999998</v>
      </c>
    </row>
    <row r="35" spans="1:15" ht="15.75" customHeight="1" x14ac:dyDescent="0.25">
      <c r="A35" s="2">
        <f t="shared" si="4"/>
        <v>28</v>
      </c>
      <c r="B35" s="4" t="s">
        <v>57</v>
      </c>
      <c r="C35" s="9">
        <v>3.5259999999999998</v>
      </c>
      <c r="D35" s="1"/>
      <c r="E35" s="1">
        <f t="shared" si="2"/>
        <v>3.5259999999999998</v>
      </c>
      <c r="F35" s="7"/>
      <c r="G35" s="1">
        <f t="shared" si="0"/>
        <v>3.5259999999999998</v>
      </c>
      <c r="H35" s="5">
        <v>0.15</v>
      </c>
      <c r="I35" s="1">
        <f>VLOOKUP(B35,'fixed cost'!$B$4:$R$116,17,0)</f>
        <v>6.4769999999999994E-2</v>
      </c>
      <c r="J35" s="2"/>
      <c r="K35" s="2"/>
      <c r="L35" s="2"/>
      <c r="M35" s="2"/>
      <c r="N35" s="2"/>
      <c r="O35" s="1">
        <f t="shared" si="1"/>
        <v>3.7407699999999995</v>
      </c>
    </row>
    <row r="36" spans="1:15" s="27" customFormat="1" ht="15.75" customHeight="1" x14ac:dyDescent="0.25">
      <c r="A36" s="2">
        <f t="shared" si="4"/>
        <v>29</v>
      </c>
      <c r="B36" s="4" t="s">
        <v>56</v>
      </c>
      <c r="C36" s="50">
        <v>0.60799999999999998</v>
      </c>
      <c r="D36" s="1"/>
      <c r="E36" s="1">
        <f t="shared" si="2"/>
        <v>0.60799999999999998</v>
      </c>
      <c r="F36" s="7">
        <f>F33</f>
        <v>3.5700000000000003E-2</v>
      </c>
      <c r="G36" s="1">
        <f t="shared" si="0"/>
        <v>0.63050917764181269</v>
      </c>
      <c r="H36" s="5">
        <v>0.15</v>
      </c>
      <c r="I36" s="1">
        <f>VLOOKUP(B36,'fixed cost'!$B$4:$R$116,17,0)</f>
        <v>4.0004999999999999E-2</v>
      </c>
      <c r="J36" s="2"/>
      <c r="K36" s="2"/>
      <c r="L36" s="2"/>
      <c r="M36" s="2"/>
      <c r="N36" s="2"/>
      <c r="O36" s="1">
        <f t="shared" si="1"/>
        <v>0.82051417764181267</v>
      </c>
    </row>
    <row r="37" spans="1:15" ht="15.75" customHeight="1" x14ac:dyDescent="0.25">
      <c r="A37" s="2">
        <f t="shared" si="4"/>
        <v>30</v>
      </c>
      <c r="B37" s="4" t="s">
        <v>27</v>
      </c>
      <c r="C37">
        <v>2.7490000000000001</v>
      </c>
      <c r="D37" s="1">
        <v>-6.8000000000000005E-2</v>
      </c>
      <c r="E37" s="1">
        <f t="shared" si="2"/>
        <v>2.681</v>
      </c>
      <c r="F37" s="7">
        <f>F36</f>
        <v>3.5700000000000003E-2</v>
      </c>
      <c r="G37" s="1">
        <f t="shared" si="0"/>
        <v>2.780255107331743</v>
      </c>
      <c r="H37" s="2"/>
      <c r="I37" s="1">
        <f>VLOOKUP(B37,'fixed cost'!$B$4:$R$116,17,0)</f>
        <v>0</v>
      </c>
      <c r="J37" s="2"/>
      <c r="K37" s="2"/>
      <c r="L37" s="2"/>
      <c r="M37" s="2"/>
      <c r="N37" s="2"/>
      <c r="O37" s="1">
        <f t="shared" si="1"/>
        <v>2.780255107331743</v>
      </c>
    </row>
    <row r="38" spans="1:15" s="27" customFormat="1" ht="15.75" hidden="1" customHeight="1" x14ac:dyDescent="0.25">
      <c r="A38" s="66">
        <f t="shared" si="4"/>
        <v>31</v>
      </c>
      <c r="B38" s="46" t="s">
        <v>27</v>
      </c>
      <c r="C38" s="67">
        <f>C37</f>
        <v>2.7490000000000001</v>
      </c>
      <c r="D38" s="68">
        <f>D37</f>
        <v>-6.8000000000000005E-2</v>
      </c>
      <c r="E38" s="67">
        <f t="shared" si="2"/>
        <v>2.681</v>
      </c>
      <c r="F38" s="184">
        <f t="shared" ref="F38:F63" si="5">F37</f>
        <v>3.5700000000000003E-2</v>
      </c>
      <c r="G38" s="67">
        <f t="shared" si="0"/>
        <v>2.780255107331743</v>
      </c>
      <c r="H38" s="66"/>
      <c r="I38" s="67">
        <f>VLOOKUP(B38,'fixed cost'!$B$4:$R$116,17,0)</f>
        <v>0</v>
      </c>
      <c r="J38" s="66"/>
      <c r="K38" s="66"/>
      <c r="L38" s="66"/>
      <c r="M38" s="67">
        <f>VLOOKUP(B38,'fixed cost'!$B$4:$H$59,7,0)</f>
        <v>0.92016615713300831</v>
      </c>
      <c r="N38" s="67"/>
      <c r="O38" s="67">
        <f t="shared" si="1"/>
        <v>3.7004212644647514</v>
      </c>
    </row>
    <row r="39" spans="1:15" s="65" customFormat="1" ht="15.75" customHeight="1" x14ac:dyDescent="0.25">
      <c r="A39" s="2">
        <f t="shared" si="4"/>
        <v>32</v>
      </c>
      <c r="B39" s="4" t="s">
        <v>19</v>
      </c>
      <c r="C39" s="1">
        <v>1.597</v>
      </c>
      <c r="D39" s="1"/>
      <c r="E39" s="1">
        <f t="shared" si="2"/>
        <v>1.597</v>
      </c>
      <c r="F39" s="7">
        <f t="shared" si="5"/>
        <v>3.5700000000000003E-2</v>
      </c>
      <c r="G39" s="1">
        <f t="shared" si="0"/>
        <v>1.6561236129835113</v>
      </c>
      <c r="H39" s="2"/>
      <c r="I39" s="1">
        <f>VLOOKUP(B39,'fixed cost'!$B$4:$R$116,17,0)</f>
        <v>0</v>
      </c>
      <c r="J39" s="2"/>
      <c r="K39" s="2"/>
      <c r="L39" s="2"/>
      <c r="M39" s="2"/>
      <c r="N39" s="2"/>
      <c r="O39" s="1">
        <f t="shared" si="1"/>
        <v>1.6561236129835113</v>
      </c>
    </row>
    <row r="40" spans="1:15" s="65" customFormat="1" ht="15.75" hidden="1" customHeight="1" x14ac:dyDescent="0.25">
      <c r="A40" s="66">
        <f t="shared" si="4"/>
        <v>33</v>
      </c>
      <c r="B40" s="46" t="s">
        <v>19</v>
      </c>
      <c r="C40" s="67">
        <f>C39</f>
        <v>1.597</v>
      </c>
      <c r="D40" s="68">
        <f>D39</f>
        <v>0</v>
      </c>
      <c r="E40" s="67">
        <f t="shared" si="2"/>
        <v>1.597</v>
      </c>
      <c r="F40" s="184">
        <f t="shared" si="5"/>
        <v>3.5700000000000003E-2</v>
      </c>
      <c r="G40" s="67">
        <f t="shared" si="0"/>
        <v>1.6561236129835113</v>
      </c>
      <c r="H40" s="66"/>
      <c r="I40" s="67">
        <f>VLOOKUP(B40,'fixed cost'!$B$4:$R$116,17,0)</f>
        <v>0</v>
      </c>
      <c r="J40" s="66"/>
      <c r="K40" s="66"/>
      <c r="L40" s="66"/>
      <c r="M40" s="67">
        <f>VLOOKUP(B40,'fixed cost'!$B$4:$H$59,7,0)</f>
        <v>0.85915096311475081</v>
      </c>
      <c r="N40" s="67"/>
      <c r="O40" s="67">
        <f t="shared" si="1"/>
        <v>2.5152745760982622</v>
      </c>
    </row>
    <row r="41" spans="1:15" s="65" customFormat="1" ht="15.75" hidden="1" customHeight="1" x14ac:dyDescent="0.25">
      <c r="A41" s="92">
        <f>A40+1</f>
        <v>34</v>
      </c>
      <c r="B41" s="93" t="s">
        <v>182</v>
      </c>
      <c r="C41" s="94">
        <v>8.7349999999999994</v>
      </c>
      <c r="D41" s="94"/>
      <c r="E41" s="94">
        <f t="shared" si="2"/>
        <v>8.7349999999999994</v>
      </c>
      <c r="F41" s="173">
        <f t="shared" si="5"/>
        <v>3.5700000000000003E-2</v>
      </c>
      <c r="G41" s="94">
        <f t="shared" si="0"/>
        <v>9.0583843202322925</v>
      </c>
      <c r="H41" s="100"/>
      <c r="I41" s="94">
        <f>VLOOKUP(B41,'fixed cost'!$B$4:$R$116,17,0)</f>
        <v>0</v>
      </c>
      <c r="J41" s="92"/>
      <c r="K41" s="92"/>
      <c r="L41" s="92"/>
      <c r="M41" s="94"/>
      <c r="N41" s="94"/>
      <c r="O41" s="94">
        <f t="shared" si="1"/>
        <v>9.0583843202322925</v>
      </c>
    </row>
    <row r="42" spans="1:15" s="65" customFormat="1" ht="15.75" hidden="1" customHeight="1" x14ac:dyDescent="0.25">
      <c r="A42" s="66">
        <f t="shared" si="4"/>
        <v>35</v>
      </c>
      <c r="B42" s="46" t="s">
        <v>182</v>
      </c>
      <c r="C42" s="67">
        <f>C41</f>
        <v>8.7349999999999994</v>
      </c>
      <c r="D42" s="68"/>
      <c r="E42" s="67">
        <f t="shared" si="2"/>
        <v>8.7349999999999994</v>
      </c>
      <c r="F42" s="184">
        <f t="shared" si="5"/>
        <v>3.5700000000000003E-2</v>
      </c>
      <c r="G42" s="67">
        <f t="shared" si="0"/>
        <v>9.0583843202322925</v>
      </c>
      <c r="H42" s="66"/>
      <c r="I42" s="67">
        <f>VLOOKUP(B42,'fixed cost'!$B$4:$R$116,17,0)</f>
        <v>0</v>
      </c>
      <c r="J42" s="66"/>
      <c r="K42" s="66"/>
      <c r="L42" s="66"/>
      <c r="M42" s="67">
        <f>VLOOKUP(B42,'fixed cost'!$B$4:$H$59,7,0)</f>
        <v>0.85915096311475081</v>
      </c>
      <c r="N42" s="67"/>
      <c r="O42" s="67">
        <f t="shared" si="1"/>
        <v>9.9175352833470427</v>
      </c>
    </row>
    <row r="43" spans="1:15" s="65" customFormat="1" ht="15.75" hidden="1" customHeight="1" x14ac:dyDescent="0.25">
      <c r="A43" s="92">
        <f>A42+1</f>
        <v>36</v>
      </c>
      <c r="B43" s="93" t="s">
        <v>105</v>
      </c>
      <c r="C43" s="94">
        <v>10.339</v>
      </c>
      <c r="D43" s="94"/>
      <c r="E43" s="94">
        <f t="shared" si="2"/>
        <v>10.339</v>
      </c>
      <c r="F43" s="173">
        <f t="shared" si="5"/>
        <v>3.5700000000000003E-2</v>
      </c>
      <c r="G43" s="94">
        <f t="shared" si="0"/>
        <v>10.721767084932075</v>
      </c>
      <c r="H43" s="100"/>
      <c r="I43" s="94">
        <f>VLOOKUP(B43,'fixed cost'!$B$4:$R$116,17,0)</f>
        <v>0</v>
      </c>
      <c r="J43" s="92"/>
      <c r="K43" s="92"/>
      <c r="L43" s="92"/>
      <c r="M43" s="94"/>
      <c r="N43" s="94"/>
      <c r="O43" s="94">
        <f t="shared" si="1"/>
        <v>10.721767084932075</v>
      </c>
    </row>
    <row r="44" spans="1:15" s="65" customFormat="1" ht="15.75" hidden="1" customHeight="1" x14ac:dyDescent="0.25">
      <c r="A44" s="66">
        <f t="shared" si="4"/>
        <v>37</v>
      </c>
      <c r="B44" s="46" t="s">
        <v>105</v>
      </c>
      <c r="C44" s="67">
        <f>C43</f>
        <v>10.339</v>
      </c>
      <c r="D44" s="68">
        <f>D43</f>
        <v>0</v>
      </c>
      <c r="E44" s="67">
        <f t="shared" si="2"/>
        <v>10.339</v>
      </c>
      <c r="F44" s="184">
        <f t="shared" si="5"/>
        <v>3.5700000000000003E-2</v>
      </c>
      <c r="G44" s="67">
        <f t="shared" si="0"/>
        <v>10.721767084932075</v>
      </c>
      <c r="H44" s="66"/>
      <c r="I44" s="67">
        <f>VLOOKUP(B44,'fixed cost'!$B$4:$R$116,17,0)</f>
        <v>0</v>
      </c>
      <c r="J44" s="66"/>
      <c r="K44" s="66"/>
      <c r="L44" s="66"/>
      <c r="M44" s="67">
        <f>VLOOKUP(B44,'fixed cost'!$B$4:$H$59,7,0)</f>
        <v>0.85915096311475081</v>
      </c>
      <c r="N44" s="67"/>
      <c r="O44" s="67">
        <f t="shared" si="1"/>
        <v>11.580918048046826</v>
      </c>
    </row>
    <row r="45" spans="1:15" s="65" customFormat="1" ht="15.75" hidden="1" customHeight="1" x14ac:dyDescent="0.25">
      <c r="A45" s="92">
        <f t="shared" si="4"/>
        <v>38</v>
      </c>
      <c r="B45" s="93" t="s">
        <v>128</v>
      </c>
      <c r="C45" s="94">
        <v>21.763999999999999</v>
      </c>
      <c r="D45" s="94"/>
      <c r="E45" s="94">
        <f t="shared" si="2"/>
        <v>21.763999999999999</v>
      </c>
      <c r="F45" s="173">
        <f t="shared" si="5"/>
        <v>3.5700000000000003E-2</v>
      </c>
      <c r="G45" s="94">
        <f t="shared" si="0"/>
        <v>22.569739707559886</v>
      </c>
      <c r="H45" s="100"/>
      <c r="I45" s="94">
        <f>VLOOKUP(B45,'fixed cost'!$B$4:$R$116,17,0)</f>
        <v>0</v>
      </c>
      <c r="J45" s="92"/>
      <c r="K45" s="92"/>
      <c r="L45" s="92"/>
      <c r="M45" s="94"/>
      <c r="N45" s="94"/>
      <c r="O45" s="94">
        <f t="shared" si="1"/>
        <v>22.569739707559886</v>
      </c>
    </row>
    <row r="46" spans="1:15" s="65" customFormat="1" ht="15.75" hidden="1" customHeight="1" x14ac:dyDescent="0.25">
      <c r="A46" s="66">
        <f t="shared" si="4"/>
        <v>39</v>
      </c>
      <c r="B46" s="46" t="s">
        <v>128</v>
      </c>
      <c r="C46" s="67">
        <f>C45</f>
        <v>21.763999999999999</v>
      </c>
      <c r="D46" s="68">
        <f>D45</f>
        <v>0</v>
      </c>
      <c r="E46" s="67">
        <f t="shared" si="2"/>
        <v>21.763999999999999</v>
      </c>
      <c r="F46" s="184">
        <f t="shared" si="5"/>
        <v>3.5700000000000003E-2</v>
      </c>
      <c r="G46" s="67">
        <f t="shared" si="0"/>
        <v>22.569739707559886</v>
      </c>
      <c r="H46" s="66"/>
      <c r="I46" s="67">
        <f>VLOOKUP(B46,'fixed cost'!$B$4:$R$116,17,0)</f>
        <v>0</v>
      </c>
      <c r="J46" s="66"/>
      <c r="K46" s="66"/>
      <c r="L46" s="66"/>
      <c r="M46" s="67">
        <f>M44</f>
        <v>0.85915096311475081</v>
      </c>
      <c r="N46" s="67"/>
      <c r="O46" s="67">
        <f t="shared" si="1"/>
        <v>23.428890670674637</v>
      </c>
    </row>
    <row r="47" spans="1:15" s="65" customFormat="1" ht="15.75" hidden="1" customHeight="1" x14ac:dyDescent="0.25">
      <c r="A47" s="92">
        <f>A44+1</f>
        <v>38</v>
      </c>
      <c r="B47" s="93" t="s">
        <v>16</v>
      </c>
      <c r="C47" s="94">
        <v>35.627000000000002</v>
      </c>
      <c r="D47" s="94"/>
      <c r="E47" s="94">
        <f t="shared" si="2"/>
        <v>35.627000000000002</v>
      </c>
      <c r="F47" s="173">
        <f t="shared" si="5"/>
        <v>3.5700000000000003E-2</v>
      </c>
      <c r="G47" s="94">
        <f t="shared" si="0"/>
        <v>36.945971170797471</v>
      </c>
      <c r="H47" s="100"/>
      <c r="I47" s="94">
        <f>VLOOKUP(B47,'fixed cost'!$B$4:$R$116,17,0)</f>
        <v>0</v>
      </c>
      <c r="J47" s="92"/>
      <c r="K47" s="92"/>
      <c r="L47" s="92"/>
      <c r="M47" s="94"/>
      <c r="N47" s="94"/>
      <c r="O47" s="94">
        <f t="shared" si="1"/>
        <v>36.945971170797471</v>
      </c>
    </row>
    <row r="48" spans="1:15" s="65" customFormat="1" ht="15.75" hidden="1" customHeight="1" x14ac:dyDescent="0.25">
      <c r="A48" s="66">
        <f t="shared" ref="A48:A100" si="6">A47+1</f>
        <v>39</v>
      </c>
      <c r="B48" s="46" t="s">
        <v>16</v>
      </c>
      <c r="C48" s="67">
        <f>C47</f>
        <v>35.627000000000002</v>
      </c>
      <c r="D48" s="68">
        <f>D47</f>
        <v>0</v>
      </c>
      <c r="E48" s="67">
        <f>E47</f>
        <v>35.627000000000002</v>
      </c>
      <c r="F48" s="184">
        <f t="shared" si="5"/>
        <v>3.5700000000000003E-2</v>
      </c>
      <c r="G48" s="67">
        <f t="shared" si="0"/>
        <v>36.945971170797471</v>
      </c>
      <c r="H48" s="66"/>
      <c r="I48" s="67">
        <f>VLOOKUP(B48,'fixed cost'!$B$4:$R$116,17,0)</f>
        <v>0</v>
      </c>
      <c r="J48" s="66"/>
      <c r="K48" s="66"/>
      <c r="L48" s="66"/>
      <c r="M48" s="67">
        <f>VLOOKUP(B48,'fixed cost'!$B$4:$H$59,7,0)</f>
        <v>0.85915096311475081</v>
      </c>
      <c r="N48" s="67"/>
      <c r="O48" s="67">
        <f t="shared" si="1"/>
        <v>37.805122133912221</v>
      </c>
    </row>
    <row r="49" spans="1:15" ht="15.75" customHeight="1" x14ac:dyDescent="0.25">
      <c r="A49" s="2">
        <f>A46+1</f>
        <v>40</v>
      </c>
      <c r="B49" s="4" t="s">
        <v>175</v>
      </c>
      <c r="C49">
        <v>3.911</v>
      </c>
      <c r="D49" s="1"/>
      <c r="E49" s="1">
        <f t="shared" ref="E49:E112" si="7">C49+D49</f>
        <v>3.911</v>
      </c>
      <c r="F49" s="7">
        <f t="shared" si="5"/>
        <v>3.5700000000000003E-2</v>
      </c>
      <c r="G49" s="1">
        <f t="shared" si="0"/>
        <v>4.0557917660479106</v>
      </c>
      <c r="H49" s="2">
        <v>0.15</v>
      </c>
      <c r="I49" s="1">
        <f>VLOOKUP(B49,'fixed cost'!$B$4:$R$116,17,0)</f>
        <v>5.2784999999999999E-2</v>
      </c>
      <c r="J49" s="2"/>
      <c r="K49" s="2"/>
      <c r="L49" s="2"/>
      <c r="M49" s="2"/>
      <c r="N49" s="2"/>
      <c r="O49" s="1">
        <f t="shared" si="1"/>
        <v>4.258576766047911</v>
      </c>
    </row>
    <row r="50" spans="1:15" s="27" customFormat="1" ht="15.75" hidden="1" customHeight="1" x14ac:dyDescent="0.25">
      <c r="A50" s="66">
        <f>A49+1</f>
        <v>41</v>
      </c>
      <c r="B50" s="46" t="s">
        <v>175</v>
      </c>
      <c r="C50" s="67">
        <f>C49</f>
        <v>3.911</v>
      </c>
      <c r="D50" s="68">
        <f>D49</f>
        <v>0</v>
      </c>
      <c r="E50" s="67">
        <f t="shared" si="7"/>
        <v>3.911</v>
      </c>
      <c r="F50" s="184">
        <f t="shared" si="5"/>
        <v>3.5700000000000003E-2</v>
      </c>
      <c r="G50" s="67">
        <f t="shared" si="0"/>
        <v>4.0557917660479106</v>
      </c>
      <c r="H50" s="66">
        <f>H49</f>
        <v>0.15</v>
      </c>
      <c r="I50" s="67">
        <f>VLOOKUP(B50,'fixed cost'!$B$4:$R$116,17,0)</f>
        <v>5.2784999999999999E-2</v>
      </c>
      <c r="J50" s="66"/>
      <c r="K50" s="66"/>
      <c r="L50" s="66"/>
      <c r="M50" s="67">
        <f>VLOOKUP(B50,'fixed cost'!$B$4:$H$59,7,0)</f>
        <v>2.0731460875671606</v>
      </c>
      <c r="N50" s="67"/>
      <c r="O50" s="67">
        <f t="shared" si="1"/>
        <v>6.3317228536150711</v>
      </c>
    </row>
    <row r="51" spans="1:15" s="27" customFormat="1" ht="15.75" customHeight="1" x14ac:dyDescent="0.25">
      <c r="A51" s="2">
        <f>A50+1</f>
        <v>42</v>
      </c>
      <c r="B51" s="4" t="s">
        <v>36</v>
      </c>
      <c r="C51">
        <v>1.504</v>
      </c>
      <c r="D51" s="1">
        <v>4.0000000000000001E-3</v>
      </c>
      <c r="E51" s="1">
        <f t="shared" si="7"/>
        <v>1.508</v>
      </c>
      <c r="F51" s="7">
        <f t="shared" si="5"/>
        <v>3.5700000000000003E-2</v>
      </c>
      <c r="G51" s="1">
        <f t="shared" si="0"/>
        <v>1.5638286840194959</v>
      </c>
      <c r="H51" s="2"/>
      <c r="I51" s="1">
        <f>VLOOKUP(B51,'fixed cost'!$B$4:$R$116,17,0)</f>
        <v>0.13208364</v>
      </c>
      <c r="J51" s="2"/>
      <c r="K51" s="2"/>
      <c r="L51" s="2"/>
      <c r="M51" s="2"/>
      <c r="N51" s="2"/>
      <c r="O51" s="1">
        <f t="shared" si="1"/>
        <v>1.695912324019496</v>
      </c>
    </row>
    <row r="52" spans="1:15" s="27" customFormat="1" ht="15.75" hidden="1" customHeight="1" x14ac:dyDescent="0.25">
      <c r="A52" s="66">
        <f t="shared" si="6"/>
        <v>43</v>
      </c>
      <c r="B52" s="46" t="s">
        <v>36</v>
      </c>
      <c r="C52" s="67">
        <f t="shared" ref="C52:D54" si="8">C51</f>
        <v>1.504</v>
      </c>
      <c r="D52" s="68">
        <f t="shared" si="8"/>
        <v>4.0000000000000001E-3</v>
      </c>
      <c r="E52" s="67">
        <f t="shared" si="7"/>
        <v>1.508</v>
      </c>
      <c r="F52" s="184">
        <f t="shared" si="5"/>
        <v>3.5700000000000003E-2</v>
      </c>
      <c r="G52" s="67">
        <f t="shared" si="0"/>
        <v>1.5638286840194959</v>
      </c>
      <c r="H52" s="66"/>
      <c r="I52" s="67">
        <f>VLOOKUP(B52,'fixed cost'!$B$4:$R$116,17,0)</f>
        <v>0.13208364</v>
      </c>
      <c r="J52" s="66"/>
      <c r="K52" s="66"/>
      <c r="L52" s="66"/>
      <c r="M52" s="67">
        <f>VLOOKUP(B52,'fixed cost'!$B$4:$H$59,7,0)</f>
        <v>0.7550673162927084</v>
      </c>
      <c r="N52" s="67"/>
      <c r="O52" s="67">
        <f t="shared" si="1"/>
        <v>2.4509796403122044</v>
      </c>
    </row>
    <row r="53" spans="1:15" s="182" customFormat="1" ht="15.75" hidden="1" customHeight="1" x14ac:dyDescent="0.25">
      <c r="A53" s="58">
        <f t="shared" si="6"/>
        <v>44</v>
      </c>
      <c r="B53" s="59" t="str">
        <f>B52</f>
        <v>KSTPS</v>
      </c>
      <c r="C53" s="60">
        <f t="shared" si="8"/>
        <v>1.504</v>
      </c>
      <c r="D53" s="60">
        <f t="shared" si="8"/>
        <v>4.0000000000000001E-3</v>
      </c>
      <c r="E53" s="60">
        <f t="shared" si="7"/>
        <v>1.508</v>
      </c>
      <c r="F53" s="124">
        <f t="shared" si="5"/>
        <v>3.5700000000000003E-2</v>
      </c>
      <c r="G53" s="60">
        <f t="shared" si="0"/>
        <v>1.5638286840194959</v>
      </c>
      <c r="H53" s="58"/>
      <c r="I53" s="60">
        <f>VLOOKUP(B53,'fixed cost'!$B$4:$R$116,17,0)</f>
        <v>0.13208364</v>
      </c>
      <c r="J53" s="58"/>
      <c r="K53" s="58"/>
      <c r="L53" s="58"/>
      <c r="M53" s="125"/>
      <c r="N53" s="58">
        <v>0.5</v>
      </c>
      <c r="O53" s="60">
        <f t="shared" si="1"/>
        <v>2.195912324019496</v>
      </c>
    </row>
    <row r="54" spans="1:15" s="182" customFormat="1" ht="15.75" hidden="1" customHeight="1" x14ac:dyDescent="0.25">
      <c r="A54" s="146">
        <f t="shared" si="6"/>
        <v>45</v>
      </c>
      <c r="B54" s="147" t="str">
        <f>B53</f>
        <v>KSTPS</v>
      </c>
      <c r="C54" s="148">
        <f t="shared" si="8"/>
        <v>1.504</v>
      </c>
      <c r="D54" s="149">
        <f t="shared" si="8"/>
        <v>4.0000000000000001E-3</v>
      </c>
      <c r="E54" s="148">
        <f t="shared" si="7"/>
        <v>1.508</v>
      </c>
      <c r="F54" s="150">
        <f t="shared" si="5"/>
        <v>3.5700000000000003E-2</v>
      </c>
      <c r="G54" s="148">
        <f t="shared" si="0"/>
        <v>1.5638286840194959</v>
      </c>
      <c r="H54" s="146"/>
      <c r="I54" s="148">
        <f>VLOOKUP(B54,'fixed cost'!$B$4:$R$116,17,0)</f>
        <v>0.13208364</v>
      </c>
      <c r="J54" s="146"/>
      <c r="K54" s="146"/>
      <c r="L54" s="146"/>
      <c r="M54" s="146"/>
      <c r="N54" s="146">
        <v>0.65</v>
      </c>
      <c r="O54" s="148">
        <f t="shared" si="1"/>
        <v>2.3459123240194959</v>
      </c>
    </row>
    <row r="55" spans="1:15" ht="15.75" customHeight="1" x14ac:dyDescent="0.25">
      <c r="A55" s="2">
        <f>A53+1</f>
        <v>45</v>
      </c>
      <c r="B55" s="44" t="s">
        <v>37</v>
      </c>
      <c r="C55">
        <v>1.4770000000000001</v>
      </c>
      <c r="D55" s="1">
        <v>2.99E-3</v>
      </c>
      <c r="E55" s="1">
        <f t="shared" si="7"/>
        <v>1.4799900000000001</v>
      </c>
      <c r="F55" s="7">
        <f t="shared" si="5"/>
        <v>3.5700000000000003E-2</v>
      </c>
      <c r="G55" s="1">
        <f t="shared" si="0"/>
        <v>1.534781706937675</v>
      </c>
      <c r="H55" s="2"/>
      <c r="I55" s="1">
        <f>VLOOKUP(B55,'fixed cost'!$B$4:$R$116,17,0)</f>
        <v>0.11369475</v>
      </c>
      <c r="J55" s="2"/>
      <c r="K55" s="2"/>
      <c r="L55" s="2"/>
      <c r="M55" s="2"/>
      <c r="N55" s="2"/>
      <c r="O55" s="1">
        <f t="shared" si="1"/>
        <v>1.6484764569376751</v>
      </c>
    </row>
    <row r="56" spans="1:15" s="27" customFormat="1" ht="15.75" hidden="1" customHeight="1" x14ac:dyDescent="0.25">
      <c r="A56" s="66">
        <f t="shared" si="6"/>
        <v>46</v>
      </c>
      <c r="B56" s="46" t="s">
        <v>37</v>
      </c>
      <c r="C56" s="67">
        <f t="shared" ref="C56:D58" si="9">C55</f>
        <v>1.4770000000000001</v>
      </c>
      <c r="D56" s="68">
        <f t="shared" si="9"/>
        <v>2.99E-3</v>
      </c>
      <c r="E56" s="67">
        <f t="shared" si="7"/>
        <v>1.4799900000000001</v>
      </c>
      <c r="F56" s="184">
        <f t="shared" si="5"/>
        <v>3.5700000000000003E-2</v>
      </c>
      <c r="G56" s="67">
        <f t="shared" si="0"/>
        <v>1.534781706937675</v>
      </c>
      <c r="H56" s="66"/>
      <c r="I56" s="67">
        <f>VLOOKUP(B56,'fixed cost'!$B$4:$R$116,17,0)</f>
        <v>0.11369475</v>
      </c>
      <c r="J56" s="66"/>
      <c r="K56" s="66"/>
      <c r="L56" s="66"/>
      <c r="M56" s="67">
        <f>VLOOKUP(B56,'fixed cost'!$B$4:$H$59,7,0)</f>
        <v>1.1259323539742558</v>
      </c>
      <c r="N56" s="67"/>
      <c r="O56" s="67">
        <f t="shared" si="1"/>
        <v>2.7744088109119307</v>
      </c>
    </row>
    <row r="57" spans="1:15" s="182" customFormat="1" ht="15.75" hidden="1" customHeight="1" x14ac:dyDescent="0.25">
      <c r="A57" s="58">
        <f t="shared" si="6"/>
        <v>47</v>
      </c>
      <c r="B57" s="59" t="str">
        <f>B56</f>
        <v>KSTPS-III</v>
      </c>
      <c r="C57" s="60">
        <f t="shared" si="9"/>
        <v>1.4770000000000001</v>
      </c>
      <c r="D57" s="60">
        <f t="shared" si="9"/>
        <v>2.99E-3</v>
      </c>
      <c r="E57" s="60">
        <f t="shared" si="7"/>
        <v>1.4799900000000001</v>
      </c>
      <c r="F57" s="124">
        <f t="shared" si="5"/>
        <v>3.5700000000000003E-2</v>
      </c>
      <c r="G57" s="60">
        <f t="shared" si="0"/>
        <v>1.534781706937675</v>
      </c>
      <c r="H57" s="58"/>
      <c r="I57" s="60">
        <f>VLOOKUP(B57,'fixed cost'!$B$4:$R$116,17,0)</f>
        <v>0.11369475</v>
      </c>
      <c r="J57" s="58"/>
      <c r="K57" s="58"/>
      <c r="L57" s="58"/>
      <c r="M57" s="125"/>
      <c r="N57" s="58">
        <v>0.5</v>
      </c>
      <c r="O57" s="60">
        <f t="shared" si="1"/>
        <v>2.1484764569376749</v>
      </c>
    </row>
    <row r="58" spans="1:15" s="182" customFormat="1" ht="15.75" hidden="1" customHeight="1" x14ac:dyDescent="0.25">
      <c r="A58" s="146">
        <f t="shared" si="6"/>
        <v>48</v>
      </c>
      <c r="B58" s="147" t="str">
        <f>B57</f>
        <v>KSTPS-III</v>
      </c>
      <c r="C58" s="148">
        <f t="shared" si="9"/>
        <v>1.4770000000000001</v>
      </c>
      <c r="D58" s="149">
        <f t="shared" si="9"/>
        <v>2.99E-3</v>
      </c>
      <c r="E58" s="148">
        <f t="shared" si="7"/>
        <v>1.4799900000000001</v>
      </c>
      <c r="F58" s="150">
        <f t="shared" si="5"/>
        <v>3.5700000000000003E-2</v>
      </c>
      <c r="G58" s="148">
        <f t="shared" si="0"/>
        <v>1.534781706937675</v>
      </c>
      <c r="H58" s="146"/>
      <c r="I58" s="148">
        <f>VLOOKUP(B58,'fixed cost'!$B$4:$R$116,17,0)</f>
        <v>0.11369475</v>
      </c>
      <c r="J58" s="146"/>
      <c r="K58" s="146"/>
      <c r="L58" s="146"/>
      <c r="M58" s="146"/>
      <c r="N58" s="146">
        <v>0.65</v>
      </c>
      <c r="O58" s="148">
        <f t="shared" si="1"/>
        <v>2.2984764569376752</v>
      </c>
    </row>
    <row r="59" spans="1:15" s="57" customFormat="1" ht="15.75" customHeight="1" x14ac:dyDescent="0.25">
      <c r="A59" s="2">
        <f>A57+1</f>
        <v>48</v>
      </c>
      <c r="B59" s="4" t="s">
        <v>272</v>
      </c>
      <c r="C59" s="1">
        <v>1.865</v>
      </c>
      <c r="D59" s="1">
        <v>-3.0000000000000001E-3</v>
      </c>
      <c r="E59" s="1">
        <f t="shared" si="7"/>
        <v>1.8620000000000001</v>
      </c>
      <c r="F59" s="7">
        <f t="shared" si="5"/>
        <v>3.5700000000000003E-2</v>
      </c>
      <c r="G59" s="1">
        <f t="shared" si="0"/>
        <v>1.9309343565280515</v>
      </c>
      <c r="H59" s="2"/>
      <c r="I59" s="1" t="e">
        <f>VLOOKUP(B59,'fixed cost'!$B$4:$R$116,17,0)</f>
        <v>#N/A</v>
      </c>
      <c r="J59" s="2">
        <v>0.05</v>
      </c>
      <c r="K59" s="2"/>
      <c r="L59" s="2"/>
      <c r="M59" s="2"/>
      <c r="N59" s="2"/>
      <c r="O59" s="1" t="e">
        <f t="shared" si="1"/>
        <v>#N/A</v>
      </c>
    </row>
    <row r="60" spans="1:15" s="95" customFormat="1" ht="15.75" hidden="1" customHeight="1" x14ac:dyDescent="0.25">
      <c r="A60" s="92">
        <f>A58+1</f>
        <v>49</v>
      </c>
      <c r="B60" s="93" t="s">
        <v>271</v>
      </c>
      <c r="C60" s="94">
        <v>11.531000000000001</v>
      </c>
      <c r="D60" s="94"/>
      <c r="E60" s="94">
        <f t="shared" si="7"/>
        <v>11.531000000000001</v>
      </c>
      <c r="F60" s="173">
        <f t="shared" si="5"/>
        <v>3.5700000000000003E-2</v>
      </c>
      <c r="G60" s="94">
        <f t="shared" si="0"/>
        <v>11.957896920045629</v>
      </c>
      <c r="H60" s="92"/>
      <c r="I60" s="94" t="e">
        <f>VLOOKUP(B60,'fixed cost'!$B$4:$R$116,17,0)</f>
        <v>#N/A</v>
      </c>
      <c r="J60" s="92">
        <v>0.05</v>
      </c>
      <c r="K60" s="92"/>
      <c r="L60" s="92"/>
      <c r="M60" s="92"/>
      <c r="N60" s="92"/>
      <c r="O60" s="94" t="e">
        <f t="shared" si="1"/>
        <v>#N/A</v>
      </c>
    </row>
    <row r="61" spans="1:15" s="95" customFormat="1" ht="15.75" hidden="1" customHeight="1" x14ac:dyDescent="0.25">
      <c r="A61" s="92">
        <f>A59+1</f>
        <v>49</v>
      </c>
      <c r="B61" s="93" t="s">
        <v>273</v>
      </c>
      <c r="C61" s="94">
        <v>15.63</v>
      </c>
      <c r="D61" s="94"/>
      <c r="E61" s="94">
        <f t="shared" si="7"/>
        <v>15.63</v>
      </c>
      <c r="F61" s="173">
        <f t="shared" si="5"/>
        <v>3.5700000000000003E-2</v>
      </c>
      <c r="G61" s="94">
        <f t="shared" si="0"/>
        <v>16.2086487607591</v>
      </c>
      <c r="H61" s="92"/>
      <c r="I61" s="94" t="e">
        <f>I60</f>
        <v>#N/A</v>
      </c>
      <c r="J61" s="92">
        <v>0.05</v>
      </c>
      <c r="K61" s="92"/>
      <c r="L61" s="92"/>
      <c r="M61" s="92"/>
      <c r="N61" s="92"/>
      <c r="O61" s="94" t="e">
        <f t="shared" ref="O61" si="10">SUM(G61:N61)</f>
        <v>#N/A</v>
      </c>
    </row>
    <row r="62" spans="1:15" s="57" customFormat="1" ht="15.75" customHeight="1" x14ac:dyDescent="0.25">
      <c r="A62" s="2">
        <f>A59+1</f>
        <v>49</v>
      </c>
      <c r="B62" s="4" t="s">
        <v>172</v>
      </c>
      <c r="C62">
        <v>1.288</v>
      </c>
      <c r="D62" s="1"/>
      <c r="E62" s="1">
        <f t="shared" si="7"/>
        <v>1.288</v>
      </c>
      <c r="F62" s="7">
        <f>F59</f>
        <v>3.5700000000000003E-2</v>
      </c>
      <c r="G62" s="1">
        <f t="shared" si="0"/>
        <v>1.33568391579384</v>
      </c>
      <c r="H62" s="2"/>
      <c r="I62" s="1">
        <f>VLOOKUP(B62,'fixed cost'!$B$4:$R$116,17,0)</f>
        <v>0.11369475000000002</v>
      </c>
      <c r="J62" s="2"/>
      <c r="K62" s="2"/>
      <c r="L62" s="2"/>
      <c r="M62" s="2"/>
      <c r="N62" s="2"/>
      <c r="O62" s="1">
        <f t="shared" si="1"/>
        <v>1.4493786657938401</v>
      </c>
    </row>
    <row r="63" spans="1:15" s="27" customFormat="1" ht="15.75" hidden="1" customHeight="1" x14ac:dyDescent="0.25">
      <c r="A63" s="66">
        <f t="shared" si="6"/>
        <v>50</v>
      </c>
      <c r="B63" s="46" t="s">
        <v>172</v>
      </c>
      <c r="C63" s="67">
        <f>C62</f>
        <v>1.288</v>
      </c>
      <c r="D63" s="67">
        <f>D62</f>
        <v>0</v>
      </c>
      <c r="E63" s="67">
        <f t="shared" si="7"/>
        <v>1.288</v>
      </c>
      <c r="F63" s="184">
        <f t="shared" si="5"/>
        <v>3.5700000000000003E-2</v>
      </c>
      <c r="G63" s="67">
        <f t="shared" si="0"/>
        <v>1.33568391579384</v>
      </c>
      <c r="H63" s="66"/>
      <c r="I63" s="67">
        <f>VLOOKUP(B63,'fixed cost'!$B$4:$R$116,17,0)</f>
        <v>0.11369475000000002</v>
      </c>
      <c r="J63" s="66"/>
      <c r="K63" s="66"/>
      <c r="L63" s="66"/>
      <c r="M63" s="67">
        <f>VLOOKUP(B63,'fixed cost'!$B$4:$H$59,7,0)</f>
        <v>2.2835364224538699</v>
      </c>
      <c r="N63" s="66"/>
      <c r="O63" s="67">
        <f t="shared" si="1"/>
        <v>3.7329150882477098</v>
      </c>
    </row>
    <row r="64" spans="1:15" s="99" customFormat="1" ht="15.75" hidden="1" customHeight="1" x14ac:dyDescent="0.25">
      <c r="A64" s="2">
        <f t="shared" si="6"/>
        <v>51</v>
      </c>
      <c r="B64" s="97" t="s">
        <v>58</v>
      </c>
      <c r="C64" s="98">
        <v>1.2929999999999999</v>
      </c>
      <c r="D64" s="96"/>
      <c r="E64" s="98">
        <f t="shared" si="7"/>
        <v>1.2929999999999999</v>
      </c>
      <c r="F64" s="96"/>
      <c r="G64" s="98">
        <f t="shared" si="0"/>
        <v>1.2929999999999999</v>
      </c>
      <c r="H64" s="96"/>
      <c r="I64" s="98">
        <f>VLOOKUP(B64,'fixed cost'!$B$4:$R$116,17,0)</f>
        <v>0</v>
      </c>
      <c r="J64" s="96"/>
      <c r="K64" s="96"/>
      <c r="L64" s="96"/>
      <c r="M64" s="96"/>
      <c r="N64" s="96"/>
      <c r="O64" s="98">
        <f t="shared" si="1"/>
        <v>1.2929999999999999</v>
      </c>
    </row>
    <row r="65" spans="1:15" ht="15.75" customHeight="1" x14ac:dyDescent="0.25">
      <c r="A65" s="2">
        <f t="shared" si="6"/>
        <v>52</v>
      </c>
      <c r="B65" s="44" t="s">
        <v>18</v>
      </c>
      <c r="C65">
        <v>3.86</v>
      </c>
      <c r="D65" s="9"/>
      <c r="E65" s="1">
        <f t="shared" si="7"/>
        <v>3.86</v>
      </c>
      <c r="F65" s="7">
        <f>F63</f>
        <v>3.5700000000000003E-2</v>
      </c>
      <c r="G65" s="1">
        <f t="shared" si="0"/>
        <v>4.002903660686508</v>
      </c>
      <c r="H65" s="2"/>
      <c r="I65" s="1">
        <f>VLOOKUP(B65,'fixed cost'!$B$4:$R$116,17,0)</f>
        <v>0</v>
      </c>
      <c r="J65" s="2"/>
      <c r="K65" s="2"/>
      <c r="L65" s="2"/>
      <c r="M65" s="2"/>
      <c r="N65" s="2"/>
      <c r="O65" s="1">
        <f t="shared" si="1"/>
        <v>4.002903660686508</v>
      </c>
    </row>
    <row r="66" spans="1:15" s="27" customFormat="1" ht="15.75" hidden="1" customHeight="1" x14ac:dyDescent="0.25">
      <c r="A66" s="66">
        <f t="shared" si="6"/>
        <v>53</v>
      </c>
      <c r="B66" s="46" t="s">
        <v>18</v>
      </c>
      <c r="C66" s="67">
        <f>C65</f>
        <v>3.86</v>
      </c>
      <c r="D66" s="67">
        <f>D65</f>
        <v>0</v>
      </c>
      <c r="E66" s="67">
        <f t="shared" si="7"/>
        <v>3.86</v>
      </c>
      <c r="F66" s="184">
        <f>F65</f>
        <v>3.5700000000000003E-2</v>
      </c>
      <c r="G66" s="67">
        <f t="shared" si="0"/>
        <v>4.002903660686508</v>
      </c>
      <c r="H66" s="66"/>
      <c r="I66" s="67">
        <f>VLOOKUP(B66,'fixed cost'!$B$4:$R$116,17,0)</f>
        <v>0</v>
      </c>
      <c r="J66" s="66"/>
      <c r="K66" s="66"/>
      <c r="L66" s="66"/>
      <c r="M66" s="67">
        <f>VLOOKUP(B66,'fixed cost'!$B$4:$H$62,7,0)</f>
        <v>1.6931572396408874</v>
      </c>
      <c r="N66" s="67"/>
      <c r="O66" s="1">
        <f t="shared" si="1"/>
        <v>5.6960609003273959</v>
      </c>
    </row>
    <row r="67" spans="1:15" ht="15.75" customHeight="1" x14ac:dyDescent="0.25">
      <c r="A67" s="2">
        <f t="shared" si="6"/>
        <v>54</v>
      </c>
      <c r="B67" s="44" t="s">
        <v>103</v>
      </c>
      <c r="C67">
        <v>3.8149999999999999</v>
      </c>
      <c r="D67" s="9"/>
      <c r="E67" s="1">
        <f t="shared" si="7"/>
        <v>3.8149999999999999</v>
      </c>
      <c r="F67" s="7">
        <f t="shared" ref="F67:F69" si="11">F66</f>
        <v>3.5700000000000003E-2</v>
      </c>
      <c r="G67" s="1">
        <f t="shared" si="0"/>
        <v>3.9562376853676238</v>
      </c>
      <c r="H67" s="2"/>
      <c r="I67" s="1">
        <f>VLOOKUP(B67,'fixed cost'!$B$4:$R$116,17,0)</f>
        <v>0</v>
      </c>
      <c r="J67" s="2"/>
      <c r="K67" s="2"/>
      <c r="L67" s="2"/>
      <c r="M67" s="2"/>
      <c r="N67" s="2"/>
      <c r="O67" s="1">
        <f t="shared" si="1"/>
        <v>3.9562376853676238</v>
      </c>
    </row>
    <row r="68" spans="1:15" s="27" customFormat="1" ht="15.75" hidden="1" customHeight="1" x14ac:dyDescent="0.25">
      <c r="A68" s="66">
        <f t="shared" si="6"/>
        <v>55</v>
      </c>
      <c r="B68" s="46" t="s">
        <v>103</v>
      </c>
      <c r="C68" s="67">
        <f>C67</f>
        <v>3.8149999999999999</v>
      </c>
      <c r="D68" s="67">
        <f>D67</f>
        <v>0</v>
      </c>
      <c r="E68" s="67">
        <f t="shared" si="7"/>
        <v>3.8149999999999999</v>
      </c>
      <c r="F68" s="184">
        <f t="shared" si="11"/>
        <v>3.5700000000000003E-2</v>
      </c>
      <c r="G68" s="67">
        <f t="shared" si="0"/>
        <v>3.9562376853676238</v>
      </c>
      <c r="H68" s="66"/>
      <c r="I68" s="67">
        <f>VLOOKUP(B68,'fixed cost'!$B$4:$R$116,17,0)</f>
        <v>0</v>
      </c>
      <c r="J68" s="66"/>
      <c r="K68" s="66"/>
      <c r="L68" s="66"/>
      <c r="M68" s="67">
        <f>VLOOKUP(B68,'fixed cost'!$B$4:$H$62,7,0)</f>
        <v>1.5812064046246714</v>
      </c>
      <c r="N68" s="67"/>
      <c r="O68" s="67">
        <f t="shared" si="1"/>
        <v>5.5374440899922952</v>
      </c>
    </row>
    <row r="69" spans="1:15" ht="15.75" customHeight="1" x14ac:dyDescent="0.25">
      <c r="A69" s="2">
        <f t="shared" si="6"/>
        <v>56</v>
      </c>
      <c r="B69" s="4" t="s">
        <v>70</v>
      </c>
      <c r="C69" s="1">
        <v>2.4449999999999998</v>
      </c>
      <c r="D69" s="1"/>
      <c r="E69" s="1">
        <f t="shared" si="7"/>
        <v>2.4449999999999998</v>
      </c>
      <c r="F69" s="7">
        <f t="shared" si="11"/>
        <v>3.5700000000000003E-2</v>
      </c>
      <c r="G69" s="1">
        <f t="shared" si="0"/>
        <v>2.5355179923260391</v>
      </c>
      <c r="H69" s="2">
        <v>0.15</v>
      </c>
      <c r="I69" s="1">
        <f>VLOOKUP(B69,'fixed cost'!$B$4:$R$116,17,0)</f>
        <v>4.7625000000000001E-2</v>
      </c>
      <c r="J69" s="2"/>
      <c r="K69" s="2"/>
      <c r="L69" s="2"/>
      <c r="M69" s="2"/>
      <c r="N69" s="2"/>
      <c r="O69" s="1">
        <f t="shared" si="1"/>
        <v>2.7331429923260391</v>
      </c>
    </row>
    <row r="70" spans="1:15" s="65" customFormat="1" ht="15.75" hidden="1" customHeight="1" x14ac:dyDescent="0.25">
      <c r="A70" s="62">
        <f>A69+1</f>
        <v>57</v>
      </c>
      <c r="B70" s="63" t="s">
        <v>101</v>
      </c>
      <c r="C70" s="64">
        <v>4.38</v>
      </c>
      <c r="D70" s="64"/>
      <c r="E70" s="64">
        <f t="shared" si="7"/>
        <v>4.38</v>
      </c>
      <c r="F70" s="178"/>
      <c r="G70" s="64">
        <f t="shared" ref="G70:G138" si="12">E70/((100%-F70))</f>
        <v>4.38</v>
      </c>
      <c r="H70" s="179"/>
      <c r="I70" s="64">
        <f>VLOOKUP(B70,'fixed cost'!$B$4:$R$116,17,0)</f>
        <v>0</v>
      </c>
      <c r="J70" s="62"/>
      <c r="K70" s="62"/>
      <c r="L70" s="62"/>
      <c r="M70" s="64"/>
      <c r="N70" s="64"/>
      <c r="O70" s="64">
        <f t="shared" ref="O70:O133" si="13">SUM(G70:N70)</f>
        <v>4.38</v>
      </c>
    </row>
    <row r="71" spans="1:15" s="99" customFormat="1" ht="15.75" hidden="1" customHeight="1" x14ac:dyDescent="0.25">
      <c r="A71" s="96">
        <f t="shared" si="6"/>
        <v>58</v>
      </c>
      <c r="B71" s="97" t="s">
        <v>45</v>
      </c>
      <c r="C71" s="98">
        <v>0.51900000000000002</v>
      </c>
      <c r="D71" s="96"/>
      <c r="E71" s="98">
        <f t="shared" si="7"/>
        <v>0.51900000000000002</v>
      </c>
      <c r="F71" s="96"/>
      <c r="G71" s="98">
        <f t="shared" si="12"/>
        <v>0.51900000000000002</v>
      </c>
      <c r="H71" s="96"/>
      <c r="I71" s="98">
        <f>VLOOKUP(B71,'fixed cost'!$B$4:$R$116,17,0)</f>
        <v>0</v>
      </c>
      <c r="J71" s="96"/>
      <c r="K71" s="96"/>
      <c r="L71" s="96"/>
      <c r="M71" s="96"/>
      <c r="N71" s="96"/>
      <c r="O71" s="98">
        <f t="shared" si="13"/>
        <v>0.51900000000000002</v>
      </c>
    </row>
    <row r="72" spans="1:15" s="99" customFormat="1" ht="15.75" hidden="1" customHeight="1" x14ac:dyDescent="0.25">
      <c r="A72" s="96">
        <f t="shared" si="6"/>
        <v>59</v>
      </c>
      <c r="B72" s="97" t="s">
        <v>68</v>
      </c>
      <c r="C72" s="98">
        <v>1.51</v>
      </c>
      <c r="D72" s="96"/>
      <c r="E72" s="98">
        <f t="shared" si="7"/>
        <v>1.51</v>
      </c>
      <c r="F72" s="96"/>
      <c r="G72" s="98">
        <f t="shared" si="12"/>
        <v>1.51</v>
      </c>
      <c r="H72" s="96"/>
      <c r="I72" s="98">
        <f>VLOOKUP(B72,'fixed cost'!$B$4:$R$116,17,0)</f>
        <v>0</v>
      </c>
      <c r="J72" s="96"/>
      <c r="K72" s="96"/>
      <c r="L72" s="96"/>
      <c r="M72" s="96"/>
      <c r="N72" s="96"/>
      <c r="O72" s="98">
        <f t="shared" si="13"/>
        <v>1.51</v>
      </c>
    </row>
    <row r="73" spans="1:15" s="99" customFormat="1" hidden="1" x14ac:dyDescent="0.25">
      <c r="A73" s="96">
        <f t="shared" si="6"/>
        <v>60</v>
      </c>
      <c r="B73" s="97" t="s">
        <v>35</v>
      </c>
      <c r="C73" s="98">
        <v>1.252</v>
      </c>
      <c r="D73" s="96"/>
      <c r="E73" s="98">
        <f t="shared" si="7"/>
        <v>1.252</v>
      </c>
      <c r="F73" s="96"/>
      <c r="G73" s="98">
        <f t="shared" si="12"/>
        <v>1.252</v>
      </c>
      <c r="H73" s="96"/>
      <c r="I73" s="98">
        <f>VLOOKUP(B73,'fixed cost'!$B$4:$R$116,17,0)</f>
        <v>0</v>
      </c>
      <c r="J73" s="96"/>
      <c r="K73" s="96"/>
      <c r="L73" s="96"/>
      <c r="M73" s="96"/>
      <c r="N73" s="96"/>
      <c r="O73" s="98">
        <f t="shared" si="13"/>
        <v>1.252</v>
      </c>
    </row>
    <row r="74" spans="1:15" s="27" customFormat="1" ht="15.75" customHeight="1" x14ac:dyDescent="0.25">
      <c r="A74" s="2">
        <f t="shared" si="6"/>
        <v>61</v>
      </c>
      <c r="B74" s="4" t="s">
        <v>43</v>
      </c>
      <c r="C74" s="1">
        <v>1.1494</v>
      </c>
      <c r="D74" s="1"/>
      <c r="E74" s="1">
        <f t="shared" si="7"/>
        <v>1.1494</v>
      </c>
      <c r="F74" s="7">
        <f>F69</f>
        <v>3.5700000000000003E-2</v>
      </c>
      <c r="G74" s="1">
        <f t="shared" si="12"/>
        <v>1.1919527118116768</v>
      </c>
      <c r="H74" s="2">
        <v>0.15</v>
      </c>
      <c r="I74" s="1">
        <f>VLOOKUP(B74,'fixed cost'!$B$4:$R$116,17,0)</f>
        <v>3.8347439041159732E-2</v>
      </c>
      <c r="J74" s="2"/>
      <c r="K74" s="2"/>
      <c r="L74" s="5">
        <v>0.16500000000000001</v>
      </c>
      <c r="M74" s="2"/>
      <c r="N74" s="2"/>
      <c r="O74" s="1">
        <f t="shared" si="13"/>
        <v>1.5453001508528366</v>
      </c>
    </row>
    <row r="75" spans="1:15" s="27" customFormat="1" ht="15.75" hidden="1" customHeight="1" x14ac:dyDescent="0.25">
      <c r="A75" s="66">
        <f t="shared" si="6"/>
        <v>62</v>
      </c>
      <c r="B75" s="46" t="s">
        <v>43</v>
      </c>
      <c r="C75" s="67">
        <f>C74</f>
        <v>1.1494</v>
      </c>
      <c r="D75" s="67">
        <f>D74</f>
        <v>0</v>
      </c>
      <c r="E75" s="67">
        <f t="shared" si="7"/>
        <v>1.1494</v>
      </c>
      <c r="F75" s="184">
        <f>F74</f>
        <v>3.5700000000000003E-2</v>
      </c>
      <c r="G75" s="67">
        <f t="shared" si="12"/>
        <v>1.1919527118116768</v>
      </c>
      <c r="H75" s="66">
        <v>0.15</v>
      </c>
      <c r="I75" s="67">
        <f>VLOOKUP(B75,'fixed cost'!$B$4:$R$116,17,0)</f>
        <v>3.8347439041159732E-2</v>
      </c>
      <c r="J75" s="66"/>
      <c r="K75" s="66"/>
      <c r="L75" s="117">
        <f>L74</f>
        <v>0.16500000000000001</v>
      </c>
      <c r="M75" s="67">
        <v>0.16739999999999999</v>
      </c>
      <c r="N75" s="67"/>
      <c r="O75" s="67">
        <f t="shared" si="13"/>
        <v>1.7127001508528366</v>
      </c>
    </row>
    <row r="76" spans="1:15" s="27" customFormat="1" ht="15.75" customHeight="1" x14ac:dyDescent="0.25">
      <c r="A76" s="2">
        <f t="shared" si="6"/>
        <v>63</v>
      </c>
      <c r="B76" s="4" t="s">
        <v>25</v>
      </c>
      <c r="C76" s="1">
        <v>2.82</v>
      </c>
      <c r="D76" s="1">
        <v>-1E-3</v>
      </c>
      <c r="E76" s="1">
        <f t="shared" si="7"/>
        <v>2.819</v>
      </c>
      <c r="F76" s="7"/>
      <c r="G76" s="1">
        <f t="shared" si="12"/>
        <v>2.819</v>
      </c>
      <c r="H76" s="2"/>
      <c r="I76" s="1">
        <f>VLOOKUP(B76,'fixed cost'!$B$4:$R$116,17,0)</f>
        <v>0</v>
      </c>
      <c r="J76" s="2"/>
      <c r="K76" s="2"/>
      <c r="L76" s="2"/>
      <c r="M76" s="2"/>
      <c r="N76" s="2"/>
      <c r="O76" s="1">
        <f t="shared" si="13"/>
        <v>2.819</v>
      </c>
    </row>
    <row r="77" spans="1:15" s="61" customFormat="1" ht="15.75" hidden="1" customHeight="1" x14ac:dyDescent="0.25">
      <c r="A77" s="58">
        <f t="shared" si="6"/>
        <v>64</v>
      </c>
      <c r="B77" s="59" t="s">
        <v>25</v>
      </c>
      <c r="C77" s="60">
        <f>C76</f>
        <v>2.82</v>
      </c>
      <c r="D77" s="60"/>
      <c r="E77" s="60">
        <f t="shared" si="7"/>
        <v>2.82</v>
      </c>
      <c r="F77" s="124"/>
      <c r="G77" s="60">
        <f t="shared" si="12"/>
        <v>2.82</v>
      </c>
      <c r="H77" s="58"/>
      <c r="I77" s="60">
        <f>VLOOKUP(B77,'fixed cost'!$B$4:$R$116,17,0)</f>
        <v>0</v>
      </c>
      <c r="J77" s="58"/>
      <c r="K77" s="58"/>
      <c r="L77" s="58"/>
      <c r="M77" s="125"/>
      <c r="N77" s="58">
        <v>0.5</v>
      </c>
      <c r="O77" s="60">
        <f t="shared" si="13"/>
        <v>3.32</v>
      </c>
    </row>
    <row r="78" spans="1:15" s="61" customFormat="1" ht="15.75" hidden="1" customHeight="1" x14ac:dyDescent="0.25">
      <c r="A78" s="146">
        <f>A77+1</f>
        <v>65</v>
      </c>
      <c r="B78" s="147" t="s">
        <v>25</v>
      </c>
      <c r="C78" s="148">
        <f>C77</f>
        <v>2.82</v>
      </c>
      <c r="D78" s="148"/>
      <c r="E78" s="148">
        <f t="shared" si="7"/>
        <v>2.82</v>
      </c>
      <c r="F78" s="150"/>
      <c r="G78" s="148">
        <f t="shared" si="12"/>
        <v>2.82</v>
      </c>
      <c r="H78" s="146"/>
      <c r="I78" s="148">
        <f>VLOOKUP(B78,'fixed cost'!$B$4:$R$116,17,0)</f>
        <v>0</v>
      </c>
      <c r="J78" s="146"/>
      <c r="K78" s="146"/>
      <c r="L78" s="146"/>
      <c r="M78" s="153"/>
      <c r="N78" s="146">
        <v>0.65</v>
      </c>
      <c r="O78" s="148">
        <f t="shared" si="13"/>
        <v>3.4699999999999998</v>
      </c>
    </row>
    <row r="79" spans="1:15" s="27" customFormat="1" ht="15.75" customHeight="1" x14ac:dyDescent="0.25">
      <c r="A79" s="2">
        <f>A77+1</f>
        <v>65</v>
      </c>
      <c r="B79" s="4" t="s">
        <v>22</v>
      </c>
      <c r="C79" s="1">
        <v>2.9980000000000002</v>
      </c>
      <c r="D79" s="1">
        <v>2E-3</v>
      </c>
      <c r="E79" s="1">
        <f t="shared" si="7"/>
        <v>3</v>
      </c>
      <c r="F79" s="7"/>
      <c r="G79" s="1">
        <f t="shared" si="12"/>
        <v>3</v>
      </c>
      <c r="H79" s="2"/>
      <c r="I79" s="1">
        <f>VLOOKUP(B79,'fixed cost'!$B$4:$R$116,17,0)</f>
        <v>0</v>
      </c>
      <c r="J79" s="2"/>
      <c r="K79" s="2"/>
      <c r="L79" s="2"/>
      <c r="M79" s="2"/>
      <c r="N79" s="2"/>
      <c r="O79" s="1">
        <f t="shared" si="13"/>
        <v>3</v>
      </c>
    </row>
    <row r="80" spans="1:15" ht="15.75" customHeight="1" x14ac:dyDescent="0.25">
      <c r="A80" s="2">
        <f t="shared" si="6"/>
        <v>66</v>
      </c>
      <c r="B80" s="4" t="s">
        <v>29</v>
      </c>
      <c r="C80">
        <v>1.536</v>
      </c>
      <c r="D80" s="1"/>
      <c r="E80" s="1">
        <f t="shared" si="7"/>
        <v>1.536</v>
      </c>
      <c r="F80" s="7">
        <f>F75</f>
        <v>3.5700000000000003E-2</v>
      </c>
      <c r="G80" s="1">
        <f t="shared" si="12"/>
        <v>1.5928652908845795</v>
      </c>
      <c r="H80" s="2"/>
      <c r="I80" s="1">
        <f>VLOOKUP(B80,'fixed cost'!$B$4:$R$116,17,0)</f>
        <v>0.11823725</v>
      </c>
      <c r="J80" s="2"/>
      <c r="K80" s="2"/>
      <c r="L80" s="2"/>
      <c r="M80" s="2"/>
      <c r="N80" s="2"/>
      <c r="O80" s="1">
        <f t="shared" si="13"/>
        <v>1.7111025408845795</v>
      </c>
    </row>
    <row r="81" spans="1:15" s="27" customFormat="1" ht="15.75" hidden="1" customHeight="1" x14ac:dyDescent="0.25">
      <c r="A81" s="2">
        <f t="shared" si="6"/>
        <v>67</v>
      </c>
      <c r="B81" s="46" t="s">
        <v>29</v>
      </c>
      <c r="C81" s="67">
        <f t="shared" ref="C81:D83" si="14">C80</f>
        <v>1.536</v>
      </c>
      <c r="D81" s="68">
        <f t="shared" si="14"/>
        <v>0</v>
      </c>
      <c r="E81" s="67">
        <f t="shared" si="7"/>
        <v>1.536</v>
      </c>
      <c r="F81" s="184">
        <f>F80</f>
        <v>3.5700000000000003E-2</v>
      </c>
      <c r="G81" s="67">
        <f t="shared" si="12"/>
        <v>1.5928652908845795</v>
      </c>
      <c r="H81" s="66"/>
      <c r="I81" s="67">
        <f>VLOOKUP(B81,'fixed cost'!$B$4:$R$116,17,0)</f>
        <v>0.11823725</v>
      </c>
      <c r="J81" s="66"/>
      <c r="K81" s="66"/>
      <c r="L81" s="66"/>
      <c r="M81" s="67">
        <f>VLOOKUP(B81,'fixed cost'!$B$4:$H$59,7,0)</f>
        <v>1.2557147073249215</v>
      </c>
      <c r="N81" s="67"/>
      <c r="O81" s="67">
        <f t="shared" si="13"/>
        <v>2.9668172482095008</v>
      </c>
    </row>
    <row r="82" spans="1:15" s="61" customFormat="1" ht="15.75" hidden="1" customHeight="1" x14ac:dyDescent="0.25">
      <c r="A82" s="2">
        <f t="shared" si="6"/>
        <v>68</v>
      </c>
      <c r="B82" s="59" t="str">
        <f>B81</f>
        <v>SIPAT I</v>
      </c>
      <c r="C82" s="60">
        <f t="shared" si="14"/>
        <v>1.536</v>
      </c>
      <c r="D82" s="85">
        <f t="shared" si="14"/>
        <v>0</v>
      </c>
      <c r="E82" s="60">
        <f t="shared" si="7"/>
        <v>1.536</v>
      </c>
      <c r="F82" s="124">
        <f t="shared" ref="F82:F90" si="15">F81</f>
        <v>3.5700000000000003E-2</v>
      </c>
      <c r="G82" s="60">
        <f t="shared" si="12"/>
        <v>1.5928652908845795</v>
      </c>
      <c r="H82" s="58"/>
      <c r="I82" s="60">
        <f>VLOOKUP(B82,'fixed cost'!$B$4:$R$116,17,0)</f>
        <v>0.11823725</v>
      </c>
      <c r="J82" s="58"/>
      <c r="K82" s="58"/>
      <c r="L82" s="58"/>
      <c r="M82" s="58"/>
      <c r="N82" s="58">
        <v>0.5</v>
      </c>
      <c r="O82" s="60">
        <f t="shared" si="13"/>
        <v>2.2111025408845792</v>
      </c>
    </row>
    <row r="83" spans="1:15" s="61" customFormat="1" ht="15.75" hidden="1" customHeight="1" x14ac:dyDescent="0.25">
      <c r="A83" s="146">
        <f t="shared" si="6"/>
        <v>69</v>
      </c>
      <c r="B83" s="147" t="str">
        <f>B82</f>
        <v>SIPAT I</v>
      </c>
      <c r="C83" s="148">
        <f t="shared" si="14"/>
        <v>1.536</v>
      </c>
      <c r="D83" s="149">
        <f t="shared" si="14"/>
        <v>0</v>
      </c>
      <c r="E83" s="148">
        <f t="shared" si="7"/>
        <v>1.536</v>
      </c>
      <c r="F83" s="150">
        <f t="shared" si="15"/>
        <v>3.5700000000000003E-2</v>
      </c>
      <c r="G83" s="148">
        <f t="shared" si="12"/>
        <v>1.5928652908845795</v>
      </c>
      <c r="H83" s="146"/>
      <c r="I83" s="148">
        <f>VLOOKUP(B83,'fixed cost'!$B$4:$R$116,17,0)</f>
        <v>0.11823725</v>
      </c>
      <c r="J83" s="146"/>
      <c r="K83" s="146"/>
      <c r="L83" s="146"/>
      <c r="M83" s="146"/>
      <c r="N83" s="146">
        <v>0.65</v>
      </c>
      <c r="O83" s="148">
        <f t="shared" si="13"/>
        <v>2.3611025408845796</v>
      </c>
    </row>
    <row r="84" spans="1:15" ht="15.75" customHeight="1" x14ac:dyDescent="0.25">
      <c r="A84" s="2">
        <f>A82+1</f>
        <v>69</v>
      </c>
      <c r="B84" s="4" t="s">
        <v>28</v>
      </c>
      <c r="C84">
        <v>1.5860000000000001</v>
      </c>
      <c r="D84" s="1"/>
      <c r="E84" s="1">
        <f t="shared" si="7"/>
        <v>1.5860000000000001</v>
      </c>
      <c r="F84" s="7">
        <f t="shared" si="15"/>
        <v>3.5700000000000003E-2</v>
      </c>
      <c r="G84" s="1">
        <f t="shared" si="12"/>
        <v>1.6447163745722286</v>
      </c>
      <c r="H84" s="2"/>
      <c r="I84" s="1">
        <f>VLOOKUP(B84,'fixed cost'!$B$4:$R$116,17,0)</f>
        <v>0.11823725</v>
      </c>
      <c r="J84" s="2"/>
      <c r="K84" s="2"/>
      <c r="L84" s="2"/>
      <c r="M84" s="2"/>
      <c r="N84" s="2"/>
      <c r="O84" s="1">
        <f t="shared" si="13"/>
        <v>1.7629536245722286</v>
      </c>
    </row>
    <row r="85" spans="1:15" s="27" customFormat="1" ht="15.75" hidden="1" customHeight="1" x14ac:dyDescent="0.25">
      <c r="A85" s="2">
        <f t="shared" si="6"/>
        <v>70</v>
      </c>
      <c r="B85" s="46" t="s">
        <v>28</v>
      </c>
      <c r="C85" s="67">
        <f t="shared" ref="C85:D87" si="16">C84</f>
        <v>1.5860000000000001</v>
      </c>
      <c r="D85" s="68">
        <f t="shared" si="16"/>
        <v>0</v>
      </c>
      <c r="E85" s="67">
        <f t="shared" si="7"/>
        <v>1.5860000000000001</v>
      </c>
      <c r="F85" s="184">
        <f t="shared" si="15"/>
        <v>3.5700000000000003E-2</v>
      </c>
      <c r="G85" s="67">
        <f t="shared" si="12"/>
        <v>1.6447163745722286</v>
      </c>
      <c r="H85" s="66"/>
      <c r="I85" s="67">
        <f>VLOOKUP(B85,'fixed cost'!$B$4:$R$116,17,0)</f>
        <v>0.11823725</v>
      </c>
      <c r="J85" s="66"/>
      <c r="K85" s="66"/>
      <c r="L85" s="66"/>
      <c r="M85" s="67">
        <f>VLOOKUP(B85,'fixed cost'!$B$4:$H$59,7,0)</f>
        <v>0.98415242264196123</v>
      </c>
      <c r="N85" s="67"/>
      <c r="O85" s="67">
        <f t="shared" si="13"/>
        <v>2.7471060472141899</v>
      </c>
    </row>
    <row r="86" spans="1:15" s="182" customFormat="1" ht="15.75" hidden="1" customHeight="1" x14ac:dyDescent="0.25">
      <c r="A86" s="58">
        <f t="shared" si="6"/>
        <v>71</v>
      </c>
      <c r="B86" s="59" t="str">
        <f>B85</f>
        <v>SIPAT II</v>
      </c>
      <c r="C86" s="60">
        <f t="shared" si="16"/>
        <v>1.5860000000000001</v>
      </c>
      <c r="D86" s="60">
        <f t="shared" si="16"/>
        <v>0</v>
      </c>
      <c r="E86" s="60">
        <f t="shared" si="7"/>
        <v>1.5860000000000001</v>
      </c>
      <c r="F86" s="124">
        <f t="shared" si="15"/>
        <v>3.5700000000000003E-2</v>
      </c>
      <c r="G86" s="60">
        <f t="shared" si="12"/>
        <v>1.6447163745722286</v>
      </c>
      <c r="H86" s="58"/>
      <c r="I86" s="60">
        <f>VLOOKUP(B86,'fixed cost'!$B$4:$R$116,17,0)</f>
        <v>0.11823725</v>
      </c>
      <c r="J86" s="58"/>
      <c r="K86" s="58"/>
      <c r="L86" s="58"/>
      <c r="M86" s="125"/>
      <c r="N86" s="58">
        <v>0.5</v>
      </c>
      <c r="O86" s="60">
        <f t="shared" si="13"/>
        <v>2.2629536245722286</v>
      </c>
    </row>
    <row r="87" spans="1:15" s="182" customFormat="1" ht="15.75" hidden="1" customHeight="1" x14ac:dyDescent="0.25">
      <c r="A87" s="146">
        <f t="shared" si="6"/>
        <v>72</v>
      </c>
      <c r="B87" s="147" t="str">
        <f>B86</f>
        <v>SIPAT II</v>
      </c>
      <c r="C87" s="148">
        <f t="shared" si="16"/>
        <v>1.5860000000000001</v>
      </c>
      <c r="D87" s="149">
        <f t="shared" si="16"/>
        <v>0</v>
      </c>
      <c r="E87" s="148">
        <f t="shared" si="7"/>
        <v>1.5860000000000001</v>
      </c>
      <c r="F87" s="150">
        <f t="shared" si="15"/>
        <v>3.5700000000000003E-2</v>
      </c>
      <c r="G87" s="148">
        <f t="shared" si="12"/>
        <v>1.6447163745722286</v>
      </c>
      <c r="H87" s="146"/>
      <c r="I87" s="148">
        <f>VLOOKUP(B87,'fixed cost'!$B$4:$R$116,17,0)</f>
        <v>0.11823725</v>
      </c>
      <c r="J87" s="146"/>
      <c r="K87" s="146"/>
      <c r="L87" s="146"/>
      <c r="M87" s="146"/>
      <c r="N87" s="146">
        <v>0.65</v>
      </c>
      <c r="O87" s="148">
        <f t="shared" si="13"/>
        <v>2.4129536245722285</v>
      </c>
    </row>
    <row r="88" spans="1:15" ht="15.75" customHeight="1" x14ac:dyDescent="0.25">
      <c r="A88" s="2">
        <f>A86+1</f>
        <v>72</v>
      </c>
      <c r="B88" s="4" t="s">
        <v>117</v>
      </c>
      <c r="C88">
        <v>4.5839999999999996</v>
      </c>
      <c r="D88" s="1">
        <v>0.12798999999999999</v>
      </c>
      <c r="E88" s="1">
        <f t="shared" si="7"/>
        <v>4.7119899999999992</v>
      </c>
      <c r="F88" s="7">
        <f t="shared" si="15"/>
        <v>3.5700000000000003E-2</v>
      </c>
      <c r="G88" s="1">
        <f t="shared" si="12"/>
        <v>4.8864357565073098</v>
      </c>
      <c r="H88" s="2"/>
      <c r="I88" s="1">
        <f>VLOOKUP(B88,'fixed cost'!$B$4:$R$116,17,0)</f>
        <v>0</v>
      </c>
      <c r="J88" s="2"/>
      <c r="K88" s="2"/>
      <c r="L88" s="2"/>
      <c r="M88" s="1"/>
      <c r="N88" s="1"/>
      <c r="O88" s="1">
        <f t="shared" si="13"/>
        <v>4.8864357565073098</v>
      </c>
    </row>
    <row r="89" spans="1:15" s="27" customFormat="1" ht="15.75" hidden="1" customHeight="1" x14ac:dyDescent="0.25">
      <c r="A89" s="2">
        <f t="shared" si="6"/>
        <v>73</v>
      </c>
      <c r="B89" s="46" t="s">
        <v>117</v>
      </c>
      <c r="C89" s="67">
        <f>C88</f>
        <v>4.5839999999999996</v>
      </c>
      <c r="D89" s="68">
        <f>D88</f>
        <v>0.12798999999999999</v>
      </c>
      <c r="E89" s="67">
        <f t="shared" si="7"/>
        <v>4.7119899999999992</v>
      </c>
      <c r="F89" s="184">
        <f t="shared" si="15"/>
        <v>3.5700000000000003E-2</v>
      </c>
      <c r="G89" s="67">
        <f t="shared" si="12"/>
        <v>4.8864357565073098</v>
      </c>
      <c r="H89" s="66"/>
      <c r="I89" s="67">
        <f>VLOOKUP(B89,'fixed cost'!$B$4:$R$116,17,0)</f>
        <v>0</v>
      </c>
      <c r="J89" s="66"/>
      <c r="K89" s="66"/>
      <c r="L89" s="66"/>
      <c r="M89" s="67">
        <f>VLOOKUP(B89,'fixed cost'!$B$4:$H$59,7,0)</f>
        <v>1.9962858589939085</v>
      </c>
      <c r="N89" s="67"/>
      <c r="O89" s="67">
        <f t="shared" si="13"/>
        <v>6.8827216155012181</v>
      </c>
    </row>
    <row r="90" spans="1:15" s="99" customFormat="1" ht="15.75" hidden="1" customHeight="1" x14ac:dyDescent="0.25">
      <c r="A90" s="2">
        <f t="shared" si="6"/>
        <v>74</v>
      </c>
      <c r="B90" s="97" t="s">
        <v>40</v>
      </c>
      <c r="C90" s="98">
        <v>0.82</v>
      </c>
      <c r="D90" s="96"/>
      <c r="E90" s="98">
        <f t="shared" si="7"/>
        <v>0.82</v>
      </c>
      <c r="F90" s="172">
        <f t="shared" si="15"/>
        <v>3.5700000000000003E-2</v>
      </c>
      <c r="G90" s="98">
        <f t="shared" si="12"/>
        <v>0.85035777247744471</v>
      </c>
      <c r="H90" s="96"/>
      <c r="I90" s="98">
        <f>VLOOKUP(B90,'fixed cost'!$B$4:$R$116,17,0)</f>
        <v>0</v>
      </c>
      <c r="J90" s="96"/>
      <c r="K90" s="96"/>
      <c r="L90" s="96"/>
      <c r="M90" s="96"/>
      <c r="N90" s="96"/>
      <c r="O90" s="98">
        <f t="shared" si="13"/>
        <v>0.85035777247744471</v>
      </c>
    </row>
    <row r="91" spans="1:15" s="27" customFormat="1" ht="15.75" customHeight="1" x14ac:dyDescent="0.25">
      <c r="A91" s="2">
        <f t="shared" si="6"/>
        <v>75</v>
      </c>
      <c r="B91" s="4" t="s">
        <v>54</v>
      </c>
      <c r="C91" s="1">
        <v>3.3109999999999999</v>
      </c>
      <c r="D91" s="1">
        <v>-1.7000000000000001E-2</v>
      </c>
      <c r="E91" s="1">
        <f t="shared" si="7"/>
        <v>3.294</v>
      </c>
      <c r="F91" s="7"/>
      <c r="G91" s="1">
        <f t="shared" si="12"/>
        <v>3.294</v>
      </c>
      <c r="H91" s="2"/>
      <c r="I91" s="1">
        <f>VLOOKUP(B91,'fixed cost'!$B$4:$R$116,17,0)</f>
        <v>0</v>
      </c>
      <c r="J91" s="2"/>
      <c r="K91" s="2"/>
      <c r="L91" s="2"/>
      <c r="M91" s="2"/>
      <c r="N91" s="2"/>
      <c r="O91" s="1">
        <f t="shared" si="13"/>
        <v>3.294</v>
      </c>
    </row>
    <row r="92" spans="1:15" s="27" customFormat="1" ht="32.25" customHeight="1" x14ac:dyDescent="0.25">
      <c r="A92" s="2">
        <f t="shared" si="6"/>
        <v>76</v>
      </c>
      <c r="B92" s="13" t="s">
        <v>167</v>
      </c>
      <c r="C92" s="1">
        <v>3.0249999999999999</v>
      </c>
      <c r="D92" s="1">
        <v>-3.0000000000000001E-3</v>
      </c>
      <c r="E92" s="1">
        <f t="shared" si="7"/>
        <v>3.0219999999999998</v>
      </c>
      <c r="F92" s="7"/>
      <c r="G92" s="1">
        <f t="shared" si="12"/>
        <v>3.0219999999999998</v>
      </c>
      <c r="H92" s="2"/>
      <c r="I92" s="1">
        <f>VLOOKUP(B92,'fixed cost'!$B$4:$R$116,17,0)</f>
        <v>0</v>
      </c>
      <c r="J92" s="2"/>
      <c r="K92" s="2"/>
      <c r="L92" s="2"/>
      <c r="M92" s="2"/>
      <c r="N92" s="2"/>
      <c r="O92" s="1">
        <f t="shared" si="13"/>
        <v>3.0219999999999998</v>
      </c>
    </row>
    <row r="93" spans="1:15" ht="15.75" customHeight="1" x14ac:dyDescent="0.25">
      <c r="A93" s="2">
        <f t="shared" si="6"/>
        <v>77</v>
      </c>
      <c r="B93" s="13" t="s">
        <v>50</v>
      </c>
      <c r="C93" s="1">
        <v>3.95</v>
      </c>
      <c r="D93" s="1">
        <v>2.5999999999999999E-2</v>
      </c>
      <c r="E93" s="1">
        <f t="shared" si="7"/>
        <v>3.976</v>
      </c>
      <c r="F93" s="7"/>
      <c r="G93" s="1">
        <f t="shared" si="12"/>
        <v>3.976</v>
      </c>
      <c r="H93" s="2"/>
      <c r="I93" s="1">
        <f>VLOOKUP(B93,'fixed cost'!$B$4:$R$116,17,0)</f>
        <v>0</v>
      </c>
      <c r="J93" s="2"/>
      <c r="K93" s="2"/>
      <c r="L93" s="2"/>
      <c r="M93" s="2"/>
      <c r="N93" s="2"/>
      <c r="O93" s="1">
        <f t="shared" si="13"/>
        <v>3.976</v>
      </c>
    </row>
    <row r="94" spans="1:15" s="27" customFormat="1" ht="15.75" customHeight="1" x14ac:dyDescent="0.25">
      <c r="A94" s="2">
        <f t="shared" si="6"/>
        <v>78</v>
      </c>
      <c r="B94" s="4" t="s">
        <v>60</v>
      </c>
      <c r="C94" s="1">
        <v>2.88</v>
      </c>
      <c r="D94" s="9">
        <v>0.01</v>
      </c>
      <c r="E94" s="1">
        <f t="shared" si="7"/>
        <v>2.8899999999999997</v>
      </c>
      <c r="F94" s="7"/>
      <c r="G94" s="1">
        <f t="shared" si="12"/>
        <v>2.8899999999999997</v>
      </c>
      <c r="H94" s="2"/>
      <c r="I94" s="1">
        <f>VLOOKUP(B94,'fixed cost'!$B$4:$R$116,17,0)</f>
        <v>0</v>
      </c>
      <c r="J94" s="2"/>
      <c r="K94" s="2"/>
      <c r="L94" s="2"/>
      <c r="M94" s="2"/>
      <c r="N94" s="2"/>
      <c r="O94" s="1">
        <f t="shared" si="13"/>
        <v>2.8899999999999997</v>
      </c>
    </row>
    <row r="95" spans="1:15" s="61" customFormat="1" ht="15.75" hidden="1" customHeight="1" x14ac:dyDescent="0.25">
      <c r="A95" s="58">
        <f t="shared" si="6"/>
        <v>79</v>
      </c>
      <c r="B95" s="59" t="s">
        <v>60</v>
      </c>
      <c r="C95" s="60">
        <f>C94</f>
        <v>2.88</v>
      </c>
      <c r="D95" s="106">
        <f>D94</f>
        <v>0.01</v>
      </c>
      <c r="E95" s="60">
        <f t="shared" si="7"/>
        <v>2.8899999999999997</v>
      </c>
      <c r="F95" s="124"/>
      <c r="G95" s="60">
        <f t="shared" si="12"/>
        <v>2.8899999999999997</v>
      </c>
      <c r="H95" s="58"/>
      <c r="I95" s="60">
        <f>VLOOKUP(B95,'fixed cost'!$B$4:$R$116,17,0)</f>
        <v>0</v>
      </c>
      <c r="J95" s="58"/>
      <c r="K95" s="58"/>
      <c r="L95" s="58"/>
      <c r="M95" s="58"/>
      <c r="N95" s="58">
        <v>0.5</v>
      </c>
      <c r="O95" s="60">
        <f t="shared" si="13"/>
        <v>3.3899999999999997</v>
      </c>
    </row>
    <row r="96" spans="1:15" s="152" customFormat="1" ht="15.75" hidden="1" customHeight="1" x14ac:dyDescent="0.25">
      <c r="A96" s="146">
        <f>A95+1</f>
        <v>80</v>
      </c>
      <c r="B96" s="147" t="s">
        <v>60</v>
      </c>
      <c r="C96" s="148">
        <f>C95</f>
        <v>2.88</v>
      </c>
      <c r="D96" s="151">
        <f>D95</f>
        <v>0.01</v>
      </c>
      <c r="E96" s="148">
        <f t="shared" si="7"/>
        <v>2.8899999999999997</v>
      </c>
      <c r="F96" s="150"/>
      <c r="G96" s="148">
        <f t="shared" si="12"/>
        <v>2.8899999999999997</v>
      </c>
      <c r="H96" s="146"/>
      <c r="I96" s="148">
        <f>VLOOKUP(B96,'fixed cost'!$B$4:$R$116,17,0)</f>
        <v>0</v>
      </c>
      <c r="J96" s="146"/>
      <c r="K96" s="146"/>
      <c r="L96" s="146"/>
      <c r="M96" s="146"/>
      <c r="N96" s="146">
        <v>0.65</v>
      </c>
      <c r="O96" s="148">
        <f t="shared" si="13"/>
        <v>3.5399999999999996</v>
      </c>
    </row>
    <row r="97" spans="1:15" s="95" customFormat="1" ht="15.75" hidden="1" customHeight="1" x14ac:dyDescent="0.25">
      <c r="A97" s="92">
        <f>A95+1</f>
        <v>80</v>
      </c>
      <c r="B97" s="93" t="s">
        <v>15</v>
      </c>
      <c r="C97" s="94">
        <v>9.85</v>
      </c>
      <c r="D97" s="94"/>
      <c r="E97" s="94">
        <f t="shared" si="7"/>
        <v>9.85</v>
      </c>
      <c r="F97" s="173">
        <f>F90</f>
        <v>3.5700000000000003E-2</v>
      </c>
      <c r="G97" s="94">
        <f t="shared" si="12"/>
        <v>10.214663486466867</v>
      </c>
      <c r="H97" s="100"/>
      <c r="I97" s="94">
        <f>VLOOKUP(B97,'fixed cost'!$B$4:$R$116,17,0)</f>
        <v>0</v>
      </c>
      <c r="J97" s="92">
        <v>0.05</v>
      </c>
      <c r="K97" s="92"/>
      <c r="L97" s="92"/>
      <c r="M97" s="94"/>
      <c r="N97" s="94"/>
      <c r="O97" s="94">
        <f t="shared" si="13"/>
        <v>10.264663486466867</v>
      </c>
    </row>
    <row r="98" spans="1:15" s="27" customFormat="1" ht="15.75" customHeight="1" x14ac:dyDescent="0.25">
      <c r="A98" s="2">
        <f t="shared" si="6"/>
        <v>81</v>
      </c>
      <c r="B98" s="4" t="s">
        <v>31</v>
      </c>
      <c r="C98">
        <v>1.6859999999999999</v>
      </c>
      <c r="D98" s="1">
        <v>-1.5900000000000001E-2</v>
      </c>
      <c r="E98" s="1">
        <f t="shared" si="7"/>
        <v>1.6700999999999999</v>
      </c>
      <c r="F98" s="7">
        <f>F97</f>
        <v>3.5700000000000003E-2</v>
      </c>
      <c r="G98" s="1">
        <f t="shared" si="12"/>
        <v>1.731929897334854</v>
      </c>
      <c r="H98" s="5">
        <v>0.15</v>
      </c>
      <c r="I98" s="1">
        <f>VLOOKUP(B98,'fixed cost'!$B$4:$R$116,17,0)</f>
        <v>9.1908000000000017E-2</v>
      </c>
      <c r="J98" s="2"/>
      <c r="K98" s="2"/>
      <c r="L98" s="2"/>
      <c r="M98" s="2"/>
      <c r="N98" s="2"/>
      <c r="O98" s="1">
        <f t="shared" si="13"/>
        <v>1.973837897334854</v>
      </c>
    </row>
    <row r="99" spans="1:15" s="27" customFormat="1" ht="15.75" hidden="1" customHeight="1" x14ac:dyDescent="0.25">
      <c r="A99" s="2">
        <f t="shared" si="6"/>
        <v>82</v>
      </c>
      <c r="B99" s="46" t="s">
        <v>31</v>
      </c>
      <c r="C99" s="67">
        <f t="shared" ref="C99:I101" si="17">C98</f>
        <v>1.6859999999999999</v>
      </c>
      <c r="D99" s="68">
        <f t="shared" si="17"/>
        <v>-1.5900000000000001E-2</v>
      </c>
      <c r="E99" s="67">
        <f t="shared" si="7"/>
        <v>1.6700999999999999</v>
      </c>
      <c r="F99" s="184">
        <f t="shared" ref="F99:F160" si="18">F98</f>
        <v>3.5700000000000003E-2</v>
      </c>
      <c r="G99" s="67">
        <f t="shared" si="12"/>
        <v>1.731929897334854</v>
      </c>
      <c r="H99" s="66">
        <v>0.15</v>
      </c>
      <c r="I99" s="67">
        <f>VLOOKUP(B99,'fixed cost'!$B$4:$R$116,17,0)</f>
        <v>9.1908000000000017E-2</v>
      </c>
      <c r="J99" s="66"/>
      <c r="K99" s="66"/>
      <c r="L99" s="66"/>
      <c r="M99" s="67">
        <f>VLOOKUP(B99,'fixed cost'!$B$4:$H$59,7,0)</f>
        <v>0.91733520477620856</v>
      </c>
      <c r="N99" s="67"/>
      <c r="O99" s="67">
        <f t="shared" si="13"/>
        <v>2.8911731021110625</v>
      </c>
    </row>
    <row r="100" spans="1:15" s="182" customFormat="1" ht="15.75" hidden="1" customHeight="1" x14ac:dyDescent="0.25">
      <c r="A100" s="58">
        <f t="shared" si="6"/>
        <v>83</v>
      </c>
      <c r="B100" s="59" t="s">
        <v>31</v>
      </c>
      <c r="C100" s="60">
        <f t="shared" si="17"/>
        <v>1.6859999999999999</v>
      </c>
      <c r="D100" s="60">
        <f t="shared" si="17"/>
        <v>-1.5900000000000001E-2</v>
      </c>
      <c r="E100" s="60">
        <f t="shared" si="7"/>
        <v>1.6700999999999999</v>
      </c>
      <c r="F100" s="124">
        <f t="shared" si="18"/>
        <v>3.5700000000000003E-2</v>
      </c>
      <c r="G100" s="60">
        <f t="shared" si="12"/>
        <v>1.731929897334854</v>
      </c>
      <c r="H100" s="58">
        <v>0.15</v>
      </c>
      <c r="I100" s="60">
        <f>VLOOKUP(B100,'fixed cost'!$B$4:$R$116,17,0)</f>
        <v>9.1908000000000017E-2</v>
      </c>
      <c r="J100" s="58"/>
      <c r="K100" s="58"/>
      <c r="L100" s="58"/>
      <c r="M100" s="125"/>
      <c r="N100" s="58">
        <v>0.5</v>
      </c>
      <c r="O100" s="60">
        <f>SUM(G100:N100)</f>
        <v>2.473837897334854</v>
      </c>
    </row>
    <row r="101" spans="1:15" s="182" customFormat="1" ht="15.75" hidden="1" customHeight="1" x14ac:dyDescent="0.25">
      <c r="A101" s="146">
        <v>84</v>
      </c>
      <c r="B101" s="147" t="s">
        <v>31</v>
      </c>
      <c r="C101" s="148">
        <f t="shared" si="17"/>
        <v>1.6859999999999999</v>
      </c>
      <c r="D101" s="149">
        <f t="shared" si="17"/>
        <v>-1.5900000000000001E-2</v>
      </c>
      <c r="E101" s="148">
        <f t="shared" si="17"/>
        <v>1.6700999999999999</v>
      </c>
      <c r="F101" s="150">
        <f t="shared" si="17"/>
        <v>3.5700000000000003E-2</v>
      </c>
      <c r="G101" s="148">
        <f t="shared" si="17"/>
        <v>1.731929897334854</v>
      </c>
      <c r="H101" s="146">
        <f t="shared" si="17"/>
        <v>0.15</v>
      </c>
      <c r="I101" s="148">
        <f t="shared" si="17"/>
        <v>9.1908000000000017E-2</v>
      </c>
      <c r="J101" s="146"/>
      <c r="K101" s="146"/>
      <c r="L101" s="146"/>
      <c r="M101" s="146"/>
      <c r="N101" s="146">
        <v>0.65</v>
      </c>
      <c r="O101" s="148">
        <f>SUM(G101:N101)</f>
        <v>2.623837897334854</v>
      </c>
    </row>
    <row r="102" spans="1:15" s="27" customFormat="1" ht="15.75" customHeight="1" x14ac:dyDescent="0.25">
      <c r="A102" s="2">
        <v>85</v>
      </c>
      <c r="B102" s="4" t="s">
        <v>34</v>
      </c>
      <c r="C102">
        <v>1.6240000000000001</v>
      </c>
      <c r="D102" s="1">
        <v>-1.49E-2</v>
      </c>
      <c r="E102" s="1">
        <f t="shared" si="7"/>
        <v>1.6091000000000002</v>
      </c>
      <c r="F102" s="7">
        <f>F100</f>
        <v>3.5700000000000003E-2</v>
      </c>
      <c r="G102" s="1">
        <f t="shared" si="12"/>
        <v>1.6686715752359225</v>
      </c>
      <c r="H102" s="5">
        <v>0.15</v>
      </c>
      <c r="I102" s="1">
        <f>VLOOKUP(B102,'fixed cost'!$B$4:$R$116,17,0)</f>
        <v>6.6888599999999993E-2</v>
      </c>
      <c r="J102" s="2"/>
      <c r="K102" s="2"/>
      <c r="L102" s="2"/>
      <c r="M102" s="2"/>
      <c r="N102" s="2"/>
      <c r="O102" s="1">
        <f t="shared" si="13"/>
        <v>1.8855601752359223</v>
      </c>
    </row>
    <row r="103" spans="1:15" s="27" customFormat="1" ht="15.75" hidden="1" customHeight="1" x14ac:dyDescent="0.25">
      <c r="A103" s="2">
        <f t="shared" ref="A103:A166" si="19">A102+1</f>
        <v>86</v>
      </c>
      <c r="B103" s="46" t="s">
        <v>34</v>
      </c>
      <c r="C103" s="67">
        <f t="shared" ref="C103:D105" si="20">C102</f>
        <v>1.6240000000000001</v>
      </c>
      <c r="D103" s="68">
        <f t="shared" si="20"/>
        <v>-1.49E-2</v>
      </c>
      <c r="E103" s="67">
        <f t="shared" si="7"/>
        <v>1.6091000000000002</v>
      </c>
      <c r="F103" s="184">
        <f t="shared" si="18"/>
        <v>3.5700000000000003E-2</v>
      </c>
      <c r="G103" s="67">
        <f t="shared" si="12"/>
        <v>1.6686715752359225</v>
      </c>
      <c r="H103" s="66">
        <v>0.15</v>
      </c>
      <c r="I103" s="67">
        <f>VLOOKUP(B103,'fixed cost'!$B$4:$R$116,17,0)</f>
        <v>6.6888599999999993E-2</v>
      </c>
      <c r="J103" s="66"/>
      <c r="K103" s="66"/>
      <c r="L103" s="66"/>
      <c r="M103" s="67">
        <f>VLOOKUP(B103,'fixed cost'!$B$4:$H$59,7,0)</f>
        <v>0.78386921953636013</v>
      </c>
      <c r="N103" s="67"/>
      <c r="O103" s="67">
        <f t="shared" si="13"/>
        <v>2.6694293947722825</v>
      </c>
    </row>
    <row r="104" spans="1:15" s="61" customFormat="1" ht="15.75" hidden="1" customHeight="1" x14ac:dyDescent="0.25">
      <c r="A104" s="58">
        <f t="shared" si="19"/>
        <v>87</v>
      </c>
      <c r="B104" s="59" t="s">
        <v>34</v>
      </c>
      <c r="C104" s="60">
        <f t="shared" si="20"/>
        <v>1.6240000000000001</v>
      </c>
      <c r="D104" s="60">
        <f t="shared" si="20"/>
        <v>-1.49E-2</v>
      </c>
      <c r="E104" s="60">
        <f t="shared" si="7"/>
        <v>1.6091000000000002</v>
      </c>
      <c r="F104" s="124">
        <f>F103</f>
        <v>3.5700000000000003E-2</v>
      </c>
      <c r="G104" s="60">
        <f t="shared" si="12"/>
        <v>1.6686715752359225</v>
      </c>
      <c r="H104" s="58">
        <v>0.15</v>
      </c>
      <c r="I104" s="60">
        <f>VLOOKUP(B104,'fixed cost'!$B$4:$R$116,17,0)</f>
        <v>6.6888599999999993E-2</v>
      </c>
      <c r="J104" s="58"/>
      <c r="K104" s="58"/>
      <c r="L104" s="58"/>
      <c r="M104" s="125"/>
      <c r="N104" s="58">
        <v>0.5</v>
      </c>
      <c r="O104" s="60">
        <f t="shared" si="13"/>
        <v>2.3855601752359226</v>
      </c>
    </row>
    <row r="105" spans="1:15" s="61" customFormat="1" ht="15.75" hidden="1" customHeight="1" x14ac:dyDescent="0.25">
      <c r="A105" s="146">
        <f t="shared" si="19"/>
        <v>88</v>
      </c>
      <c r="B105" s="147" t="s">
        <v>34</v>
      </c>
      <c r="C105" s="148">
        <f t="shared" si="20"/>
        <v>1.6240000000000001</v>
      </c>
      <c r="D105" s="149">
        <f t="shared" si="20"/>
        <v>-1.49E-2</v>
      </c>
      <c r="E105" s="148">
        <f t="shared" si="7"/>
        <v>1.6091000000000002</v>
      </c>
      <c r="F105" s="150">
        <f t="shared" si="18"/>
        <v>3.5700000000000003E-2</v>
      </c>
      <c r="G105" s="148">
        <f t="shared" si="12"/>
        <v>1.6686715752359225</v>
      </c>
      <c r="H105" s="146">
        <v>0.15</v>
      </c>
      <c r="I105" s="148">
        <f>VLOOKUP(B105,'fixed cost'!$B$4:$R$116,17,0)</f>
        <v>6.6888599999999993E-2</v>
      </c>
      <c r="J105" s="146"/>
      <c r="K105" s="146"/>
      <c r="L105" s="146"/>
      <c r="M105" s="146"/>
      <c r="N105" s="146">
        <v>0.65</v>
      </c>
      <c r="O105" s="148">
        <f t="shared" si="13"/>
        <v>2.5355601752359225</v>
      </c>
    </row>
    <row r="106" spans="1:15" s="27" customFormat="1" ht="15.75" customHeight="1" x14ac:dyDescent="0.25">
      <c r="A106" s="2">
        <f>A104+1</f>
        <v>88</v>
      </c>
      <c r="B106" s="4" t="s">
        <v>30</v>
      </c>
      <c r="C106">
        <v>1.61</v>
      </c>
      <c r="D106" s="1">
        <v>-1.6E-2</v>
      </c>
      <c r="E106" s="1">
        <f t="shared" si="7"/>
        <v>1.5940000000000001</v>
      </c>
      <c r="F106" s="7">
        <f t="shared" si="18"/>
        <v>3.5700000000000003E-2</v>
      </c>
      <c r="G106" s="1">
        <f t="shared" si="12"/>
        <v>1.6530125479622524</v>
      </c>
      <c r="H106" s="5">
        <v>0.15</v>
      </c>
      <c r="I106" s="1">
        <f>VLOOKUP(B106,'fixed cost'!$B$4:$R$116,17,0)</f>
        <v>5.8719E-2</v>
      </c>
      <c r="J106" s="2"/>
      <c r="K106" s="2"/>
      <c r="L106" s="2"/>
      <c r="M106" s="2"/>
      <c r="N106" s="2"/>
      <c r="O106" s="1">
        <f t="shared" si="13"/>
        <v>1.8617315479622523</v>
      </c>
    </row>
    <row r="107" spans="1:15" s="27" customFormat="1" ht="15.75" hidden="1" customHeight="1" x14ac:dyDescent="0.25">
      <c r="A107" s="2">
        <f t="shared" si="19"/>
        <v>89</v>
      </c>
      <c r="B107" s="46" t="s">
        <v>30</v>
      </c>
      <c r="C107" s="67">
        <f t="shared" ref="C107:D109" si="21">C106</f>
        <v>1.61</v>
      </c>
      <c r="D107" s="68">
        <f t="shared" si="21"/>
        <v>-1.6E-2</v>
      </c>
      <c r="E107" s="67">
        <f t="shared" si="7"/>
        <v>1.5940000000000001</v>
      </c>
      <c r="F107" s="184">
        <f t="shared" si="18"/>
        <v>3.5700000000000003E-2</v>
      </c>
      <c r="G107" s="67">
        <f t="shared" si="12"/>
        <v>1.6530125479622524</v>
      </c>
      <c r="H107" s="66">
        <v>0.15</v>
      </c>
      <c r="I107" s="67">
        <f>VLOOKUP(B107,'fixed cost'!$B$4:$R$116,17,0)</f>
        <v>5.8719E-2</v>
      </c>
      <c r="J107" s="66"/>
      <c r="K107" s="66"/>
      <c r="L107" s="66"/>
      <c r="M107" s="67">
        <f>VLOOKUP(B107,'fixed cost'!$B$4:$H$59,7,0)</f>
        <v>0.91111985072361856</v>
      </c>
      <c r="N107" s="67"/>
      <c r="O107" s="67">
        <f t="shared" si="13"/>
        <v>2.7728513986858707</v>
      </c>
    </row>
    <row r="108" spans="1:15" s="182" customFormat="1" ht="15.75" hidden="1" customHeight="1" x14ac:dyDescent="0.25">
      <c r="A108" s="58">
        <f t="shared" si="19"/>
        <v>90</v>
      </c>
      <c r="B108" s="59" t="s">
        <v>30</v>
      </c>
      <c r="C108" s="60">
        <f t="shared" si="21"/>
        <v>1.61</v>
      </c>
      <c r="D108" s="60">
        <f t="shared" si="21"/>
        <v>-1.6E-2</v>
      </c>
      <c r="E108" s="60">
        <f t="shared" si="7"/>
        <v>1.5940000000000001</v>
      </c>
      <c r="F108" s="124">
        <f t="shared" si="18"/>
        <v>3.5700000000000003E-2</v>
      </c>
      <c r="G108" s="60">
        <f t="shared" si="12"/>
        <v>1.6530125479622524</v>
      </c>
      <c r="H108" s="58">
        <v>0.15</v>
      </c>
      <c r="I108" s="60">
        <f>VLOOKUP(B108,'fixed cost'!$B$4:$R$116,17,0)</f>
        <v>5.8719E-2</v>
      </c>
      <c r="J108" s="58"/>
      <c r="K108" s="58"/>
      <c r="L108" s="58"/>
      <c r="M108" s="125"/>
      <c r="N108" s="58">
        <v>0.5</v>
      </c>
      <c r="O108" s="60">
        <f t="shared" si="13"/>
        <v>2.3617315479622523</v>
      </c>
    </row>
    <row r="109" spans="1:15" s="182" customFormat="1" ht="15.75" hidden="1" customHeight="1" x14ac:dyDescent="0.25">
      <c r="A109" s="146">
        <f t="shared" si="19"/>
        <v>91</v>
      </c>
      <c r="B109" s="147" t="s">
        <v>30</v>
      </c>
      <c r="C109" s="148">
        <f t="shared" si="21"/>
        <v>1.61</v>
      </c>
      <c r="D109" s="149">
        <f t="shared" si="21"/>
        <v>-1.6E-2</v>
      </c>
      <c r="E109" s="148">
        <f t="shared" si="7"/>
        <v>1.5940000000000001</v>
      </c>
      <c r="F109" s="150">
        <f t="shared" si="18"/>
        <v>3.5700000000000003E-2</v>
      </c>
      <c r="G109" s="148">
        <f t="shared" si="12"/>
        <v>1.6530125479622524</v>
      </c>
      <c r="H109" s="146">
        <v>0.15</v>
      </c>
      <c r="I109" s="148">
        <f>VLOOKUP(B109,'fixed cost'!$B$4:$R$116,17,0)</f>
        <v>5.8719E-2</v>
      </c>
      <c r="J109" s="146"/>
      <c r="K109" s="146"/>
      <c r="L109" s="146"/>
      <c r="M109" s="146"/>
      <c r="N109" s="146">
        <v>0.65</v>
      </c>
      <c r="O109" s="148">
        <f t="shared" si="13"/>
        <v>2.5117315479622522</v>
      </c>
    </row>
    <row r="110" spans="1:15" s="61" customFormat="1" ht="15.75" customHeight="1" x14ac:dyDescent="0.25">
      <c r="A110" s="2">
        <f>A108+1</f>
        <v>91</v>
      </c>
      <c r="B110" s="4" t="s">
        <v>33</v>
      </c>
      <c r="C110">
        <v>1.59</v>
      </c>
      <c r="D110" s="1">
        <v>-1.49E-2</v>
      </c>
      <c r="E110" s="1">
        <f t="shared" si="7"/>
        <v>1.5751000000000002</v>
      </c>
      <c r="F110" s="7">
        <f t="shared" si="18"/>
        <v>3.5700000000000003E-2</v>
      </c>
      <c r="G110" s="1">
        <f t="shared" si="12"/>
        <v>1.6334128383283211</v>
      </c>
      <c r="H110" s="5">
        <v>0.15</v>
      </c>
      <c r="I110" s="1">
        <f>VLOOKUP(B110,'fixed cost'!$B$4:$R$116,17,0)</f>
        <v>5.8719E-2</v>
      </c>
      <c r="J110" s="2"/>
      <c r="K110" s="2"/>
      <c r="L110" s="2"/>
      <c r="M110" s="2"/>
      <c r="N110" s="2"/>
      <c r="O110" s="1">
        <f t="shared" si="13"/>
        <v>1.8421318383283209</v>
      </c>
    </row>
    <row r="111" spans="1:15" s="27" customFormat="1" ht="15.75" hidden="1" customHeight="1" x14ac:dyDescent="0.25">
      <c r="A111" s="2">
        <f t="shared" si="19"/>
        <v>92</v>
      </c>
      <c r="B111" s="46" t="s">
        <v>33</v>
      </c>
      <c r="C111" s="67">
        <f t="shared" ref="C111:D113" si="22">C110</f>
        <v>1.59</v>
      </c>
      <c r="D111" s="68">
        <f t="shared" si="22"/>
        <v>-1.49E-2</v>
      </c>
      <c r="E111" s="67">
        <f t="shared" si="7"/>
        <v>1.5751000000000002</v>
      </c>
      <c r="F111" s="184">
        <f t="shared" si="18"/>
        <v>3.5700000000000003E-2</v>
      </c>
      <c r="G111" s="67">
        <f t="shared" si="12"/>
        <v>1.6334128383283211</v>
      </c>
      <c r="H111" s="66">
        <v>0.15</v>
      </c>
      <c r="I111" s="67">
        <f>VLOOKUP(B111,'fixed cost'!$B$4:$R$116,17,0)</f>
        <v>5.8719E-2</v>
      </c>
      <c r="J111" s="66"/>
      <c r="K111" s="66"/>
      <c r="L111" s="66"/>
      <c r="M111" s="67">
        <f>VLOOKUP(B111,'fixed cost'!$B$4:$H$59,7,0)</f>
        <v>1.6494464476681268</v>
      </c>
      <c r="N111" s="67"/>
      <c r="O111" s="67">
        <f t="shared" si="13"/>
        <v>3.4915782859964475</v>
      </c>
    </row>
    <row r="112" spans="1:15" s="182" customFormat="1" ht="15.75" hidden="1" customHeight="1" x14ac:dyDescent="0.25">
      <c r="A112" s="58">
        <f t="shared" si="19"/>
        <v>93</v>
      </c>
      <c r="B112" s="59" t="s">
        <v>33</v>
      </c>
      <c r="C112" s="60">
        <f t="shared" si="22"/>
        <v>1.59</v>
      </c>
      <c r="D112" s="60">
        <f t="shared" si="22"/>
        <v>-1.49E-2</v>
      </c>
      <c r="E112" s="60">
        <f t="shared" si="7"/>
        <v>1.5751000000000002</v>
      </c>
      <c r="F112" s="124">
        <f t="shared" si="18"/>
        <v>3.5700000000000003E-2</v>
      </c>
      <c r="G112" s="60">
        <f t="shared" si="12"/>
        <v>1.6334128383283211</v>
      </c>
      <c r="H112" s="58">
        <v>0.15</v>
      </c>
      <c r="I112" s="60">
        <f>VLOOKUP(B112,'fixed cost'!$B$4:$R$116,17,0)</f>
        <v>5.8719E-2</v>
      </c>
      <c r="J112" s="58"/>
      <c r="K112" s="58"/>
      <c r="L112" s="58"/>
      <c r="M112" s="125"/>
      <c r="N112" s="58">
        <v>0.5</v>
      </c>
      <c r="O112" s="60">
        <f t="shared" si="13"/>
        <v>2.3421318383283207</v>
      </c>
    </row>
    <row r="113" spans="1:15" s="182" customFormat="1" ht="15.75" hidden="1" customHeight="1" x14ac:dyDescent="0.25">
      <c r="A113" s="146">
        <f t="shared" si="19"/>
        <v>94</v>
      </c>
      <c r="B113" s="147" t="s">
        <v>33</v>
      </c>
      <c r="C113" s="148">
        <f t="shared" si="22"/>
        <v>1.59</v>
      </c>
      <c r="D113" s="149">
        <f t="shared" si="22"/>
        <v>-1.49E-2</v>
      </c>
      <c r="E113" s="148">
        <f t="shared" ref="E113:E176" si="23">C113+D113</f>
        <v>1.5751000000000002</v>
      </c>
      <c r="F113" s="150">
        <f t="shared" si="18"/>
        <v>3.5700000000000003E-2</v>
      </c>
      <c r="G113" s="148">
        <f t="shared" si="12"/>
        <v>1.6334128383283211</v>
      </c>
      <c r="H113" s="146">
        <v>0.15</v>
      </c>
      <c r="I113" s="148">
        <f>VLOOKUP(B113,'fixed cost'!$B$4:$R$116,17,0)</f>
        <v>5.8719E-2</v>
      </c>
      <c r="J113" s="146"/>
      <c r="K113" s="146"/>
      <c r="L113" s="146"/>
      <c r="M113" s="146"/>
      <c r="N113" s="146">
        <v>0.65</v>
      </c>
      <c r="O113" s="148">
        <f t="shared" si="13"/>
        <v>2.4921318383283211</v>
      </c>
    </row>
    <row r="114" spans="1:15" ht="15.75" customHeight="1" x14ac:dyDescent="0.25">
      <c r="A114" s="2">
        <f>A112+1</f>
        <v>94</v>
      </c>
      <c r="B114" s="4" t="s">
        <v>95</v>
      </c>
      <c r="C114">
        <v>1.6459999999999999</v>
      </c>
      <c r="D114" s="1">
        <v>-1.5900000000000001E-2</v>
      </c>
      <c r="E114" s="1">
        <f t="shared" si="23"/>
        <v>1.6300999999999999</v>
      </c>
      <c r="F114" s="7">
        <f t="shared" si="18"/>
        <v>3.5700000000000003E-2</v>
      </c>
      <c r="G114" s="1">
        <f t="shared" si="12"/>
        <v>1.6904490303847348</v>
      </c>
      <c r="H114" s="5">
        <v>0.15</v>
      </c>
      <c r="I114" s="1">
        <f>VLOOKUP(B114,'fixed cost'!$B$4:$R$116,17,0)</f>
        <v>7.0973400000000006E-2</v>
      </c>
      <c r="J114" s="2"/>
      <c r="K114" s="2"/>
      <c r="L114" s="2"/>
      <c r="M114" s="2"/>
      <c r="N114" s="2"/>
      <c r="O114" s="1">
        <f t="shared" si="13"/>
        <v>1.9114224303847347</v>
      </c>
    </row>
    <row r="115" spans="1:15" s="27" customFormat="1" ht="15.75" hidden="1" customHeight="1" x14ac:dyDescent="0.25">
      <c r="A115" s="2">
        <f t="shared" si="19"/>
        <v>95</v>
      </c>
      <c r="B115" s="46" t="s">
        <v>95</v>
      </c>
      <c r="C115" s="67">
        <f t="shared" ref="C115:D117" si="24">C114</f>
        <v>1.6459999999999999</v>
      </c>
      <c r="D115" s="68">
        <f t="shared" si="24"/>
        <v>-1.5900000000000001E-2</v>
      </c>
      <c r="E115" s="67">
        <f t="shared" si="23"/>
        <v>1.6300999999999999</v>
      </c>
      <c r="F115" s="184">
        <f t="shared" si="18"/>
        <v>3.5700000000000003E-2</v>
      </c>
      <c r="G115" s="67">
        <f t="shared" si="12"/>
        <v>1.6904490303847348</v>
      </c>
      <c r="H115" s="66">
        <v>0.15</v>
      </c>
      <c r="I115" s="67">
        <f>VLOOKUP(B115,'fixed cost'!$B$4:$R$116,17,0)</f>
        <v>7.0973400000000006E-2</v>
      </c>
      <c r="J115" s="66"/>
      <c r="K115" s="66"/>
      <c r="L115" s="66"/>
      <c r="M115" s="67">
        <f>VLOOKUP(B115,'fixed cost'!$B$4:$H$104,7,0)</f>
        <v>1.7249287472344317</v>
      </c>
      <c r="N115" s="67"/>
      <c r="O115" s="67">
        <f t="shared" si="13"/>
        <v>3.6363511776191664</v>
      </c>
    </row>
    <row r="116" spans="1:15" s="182" customFormat="1" ht="15.75" hidden="1" customHeight="1" x14ac:dyDescent="0.25">
      <c r="A116" s="58">
        <f t="shared" si="19"/>
        <v>96</v>
      </c>
      <c r="B116" s="59" t="str">
        <f>B115</f>
        <v>VSTPS-V</v>
      </c>
      <c r="C116" s="60">
        <f t="shared" si="24"/>
        <v>1.6459999999999999</v>
      </c>
      <c r="D116" s="60">
        <f t="shared" si="24"/>
        <v>-1.5900000000000001E-2</v>
      </c>
      <c r="E116" s="60">
        <f t="shared" si="23"/>
        <v>1.6300999999999999</v>
      </c>
      <c r="F116" s="124">
        <f t="shared" si="18"/>
        <v>3.5700000000000003E-2</v>
      </c>
      <c r="G116" s="60">
        <f t="shared" si="12"/>
        <v>1.6904490303847348</v>
      </c>
      <c r="H116" s="58">
        <f>H115</f>
        <v>0.15</v>
      </c>
      <c r="I116" s="60">
        <f>VLOOKUP(B116,'fixed cost'!$B$4:$R$116,17,0)</f>
        <v>7.0973400000000006E-2</v>
      </c>
      <c r="J116" s="58"/>
      <c r="K116" s="58"/>
      <c r="L116" s="58"/>
      <c r="M116" s="125"/>
      <c r="N116" s="58">
        <v>0.5</v>
      </c>
      <c r="O116" s="60">
        <f t="shared" si="13"/>
        <v>2.4114224303847349</v>
      </c>
    </row>
    <row r="117" spans="1:15" s="182" customFormat="1" ht="15.75" hidden="1" customHeight="1" x14ac:dyDescent="0.25">
      <c r="A117" s="146">
        <f t="shared" si="19"/>
        <v>97</v>
      </c>
      <c r="B117" s="147" t="str">
        <f>B116</f>
        <v>VSTPS-V</v>
      </c>
      <c r="C117" s="148">
        <f t="shared" si="24"/>
        <v>1.6459999999999999</v>
      </c>
      <c r="D117" s="149">
        <f t="shared" si="24"/>
        <v>-1.5900000000000001E-2</v>
      </c>
      <c r="E117" s="148">
        <f t="shared" si="23"/>
        <v>1.6300999999999999</v>
      </c>
      <c r="F117" s="150">
        <f t="shared" si="18"/>
        <v>3.5700000000000003E-2</v>
      </c>
      <c r="G117" s="148">
        <f t="shared" si="12"/>
        <v>1.6904490303847348</v>
      </c>
      <c r="H117" s="146">
        <f>H116</f>
        <v>0.15</v>
      </c>
      <c r="I117" s="148">
        <f>VLOOKUP(B117,'fixed cost'!$B$4:$R$116,17,0)</f>
        <v>7.0973400000000006E-2</v>
      </c>
      <c r="J117" s="146"/>
      <c r="K117" s="146"/>
      <c r="L117" s="146"/>
      <c r="M117" s="146"/>
      <c r="N117" s="146">
        <v>0.65</v>
      </c>
      <c r="O117" s="148">
        <f t="shared" si="13"/>
        <v>2.5614224303847348</v>
      </c>
    </row>
    <row r="118" spans="1:15" ht="15.75" customHeight="1" x14ac:dyDescent="0.25">
      <c r="A118" s="127">
        <f>A116+1</f>
        <v>97</v>
      </c>
      <c r="B118" s="4" t="s">
        <v>160</v>
      </c>
      <c r="C118" s="1">
        <v>2.0049999999999999</v>
      </c>
      <c r="D118" s="15"/>
      <c r="E118" s="1">
        <f t="shared" si="23"/>
        <v>2.0049999999999999</v>
      </c>
      <c r="F118" s="7">
        <f t="shared" si="18"/>
        <v>3.5700000000000003E-2</v>
      </c>
      <c r="G118" s="1">
        <f t="shared" si="12"/>
        <v>2.0792284558747274</v>
      </c>
      <c r="H118" s="2"/>
      <c r="I118" s="1">
        <f>VLOOKUP(B118,'fixed cost'!$B$4:$R$116,17,0)</f>
        <v>0</v>
      </c>
      <c r="J118" s="2"/>
      <c r="K118" s="2"/>
      <c r="L118" s="2"/>
      <c r="M118" s="2"/>
      <c r="N118" s="2"/>
      <c r="O118" s="1">
        <f t="shared" si="13"/>
        <v>2.0792284558747274</v>
      </c>
    </row>
    <row r="119" spans="1:15" s="27" customFormat="1" ht="15.75" hidden="1" customHeight="1" x14ac:dyDescent="0.25">
      <c r="A119" s="127">
        <f t="shared" si="19"/>
        <v>98</v>
      </c>
      <c r="B119" s="46" t="s">
        <v>160</v>
      </c>
      <c r="C119" s="122">
        <f>C118</f>
        <v>2.0049999999999999</v>
      </c>
      <c r="D119" s="122"/>
      <c r="E119" s="67">
        <f t="shared" si="23"/>
        <v>2.0049999999999999</v>
      </c>
      <c r="F119" s="184">
        <f t="shared" si="18"/>
        <v>3.5700000000000003E-2</v>
      </c>
      <c r="G119" s="67">
        <f t="shared" si="12"/>
        <v>2.0792284558747274</v>
      </c>
      <c r="H119" s="66"/>
      <c r="I119" s="67">
        <f>VLOOKUP(B119,'fixed cost'!$B$4:$R$116,17,0)</f>
        <v>0</v>
      </c>
      <c r="J119" s="66"/>
      <c r="K119" s="66"/>
      <c r="L119" s="66"/>
      <c r="M119" s="67">
        <f>VLOOKUP(B119,'fixed cost'!$B$4:$H$104,7,0)</f>
        <v>0.70899999999999996</v>
      </c>
      <c r="N119" s="66"/>
      <c r="O119" s="67">
        <f t="shared" si="13"/>
        <v>2.7882284558747275</v>
      </c>
    </row>
    <row r="120" spans="1:15" s="119" customFormat="1" ht="15.75" hidden="1" customHeight="1" x14ac:dyDescent="0.25">
      <c r="A120" s="127">
        <f>A117+1</f>
        <v>98</v>
      </c>
      <c r="B120" s="93" t="s">
        <v>242</v>
      </c>
      <c r="C120" s="94">
        <v>8.9130000000000003</v>
      </c>
      <c r="D120" s="121"/>
      <c r="E120" s="94">
        <f t="shared" si="23"/>
        <v>8.9130000000000003</v>
      </c>
      <c r="F120" s="173">
        <f>F117</f>
        <v>3.5700000000000003E-2</v>
      </c>
      <c r="G120" s="94">
        <f t="shared" si="12"/>
        <v>9.2429741781603241</v>
      </c>
      <c r="H120" s="92"/>
      <c r="I120" s="94">
        <f>VLOOKUP(B120,'fixed cost'!$B$4:$R$116,17,0)</f>
        <v>0</v>
      </c>
      <c r="J120" s="92"/>
      <c r="K120" s="92"/>
      <c r="L120" s="92"/>
      <c r="M120" s="92"/>
      <c r="N120" s="92"/>
      <c r="O120" s="94">
        <f t="shared" si="13"/>
        <v>9.2429741781603241</v>
      </c>
    </row>
    <row r="121" spans="1:15" s="27" customFormat="1" ht="15.75" hidden="1" customHeight="1" x14ac:dyDescent="0.25">
      <c r="A121" s="127">
        <f t="shared" si="19"/>
        <v>99</v>
      </c>
      <c r="B121" s="46" t="s">
        <v>242</v>
      </c>
      <c r="C121" s="122">
        <f>C120</f>
        <v>8.9130000000000003</v>
      </c>
      <c r="D121" s="122"/>
      <c r="E121" s="67">
        <f t="shared" si="23"/>
        <v>8.9130000000000003</v>
      </c>
      <c r="F121" s="184">
        <f t="shared" si="18"/>
        <v>3.5700000000000003E-2</v>
      </c>
      <c r="G121" s="67">
        <f t="shared" si="12"/>
        <v>9.2429741781603241</v>
      </c>
      <c r="H121" s="66"/>
      <c r="I121" s="67">
        <f>VLOOKUP(B121,'fixed cost'!$B$4:$R$116,17,0)</f>
        <v>0</v>
      </c>
      <c r="J121" s="66"/>
      <c r="K121" s="66"/>
      <c r="L121" s="66"/>
      <c r="M121" s="67">
        <f>VLOOKUP(B121,'fixed cost'!$B$4:$H$104,7,0)</f>
        <v>0.70899999999999996</v>
      </c>
      <c r="N121" s="66"/>
      <c r="O121" s="67">
        <f t="shared" si="13"/>
        <v>9.9519741781603237</v>
      </c>
    </row>
    <row r="122" spans="1:15" s="119" customFormat="1" ht="15.75" hidden="1" customHeight="1" x14ac:dyDescent="0.25">
      <c r="A122" s="127">
        <f>A119+1</f>
        <v>99</v>
      </c>
      <c r="B122" s="93" t="s">
        <v>161</v>
      </c>
      <c r="C122" s="94">
        <v>11.836</v>
      </c>
      <c r="D122" s="121"/>
      <c r="E122" s="94">
        <f t="shared" si="23"/>
        <v>11.836</v>
      </c>
      <c r="F122" s="173">
        <f>F119</f>
        <v>3.5700000000000003E-2</v>
      </c>
      <c r="G122" s="94">
        <f t="shared" si="12"/>
        <v>12.274188530540288</v>
      </c>
      <c r="H122" s="92"/>
      <c r="I122" s="94">
        <f>VLOOKUP(B122,'fixed cost'!$B$4:$R$116,17,0)</f>
        <v>0</v>
      </c>
      <c r="J122" s="92"/>
      <c r="K122" s="92"/>
      <c r="L122" s="92"/>
      <c r="M122" s="92"/>
      <c r="N122" s="92"/>
      <c r="O122" s="94">
        <f t="shared" si="13"/>
        <v>12.274188530540288</v>
      </c>
    </row>
    <row r="123" spans="1:15" s="27" customFormat="1" ht="15.75" hidden="1" customHeight="1" x14ac:dyDescent="0.25">
      <c r="A123" s="127">
        <f t="shared" si="19"/>
        <v>100</v>
      </c>
      <c r="B123" s="46" t="s">
        <v>161</v>
      </c>
      <c r="C123" s="122">
        <f>C122</f>
        <v>11.836</v>
      </c>
      <c r="D123" s="122"/>
      <c r="E123" s="67">
        <f t="shared" si="23"/>
        <v>11.836</v>
      </c>
      <c r="F123" s="184">
        <f t="shared" si="18"/>
        <v>3.5700000000000003E-2</v>
      </c>
      <c r="G123" s="67">
        <f t="shared" si="12"/>
        <v>12.274188530540288</v>
      </c>
      <c r="H123" s="66"/>
      <c r="I123" s="67">
        <f>VLOOKUP(B123,'fixed cost'!$B$4:$R$116,17,0)</f>
        <v>0</v>
      </c>
      <c r="J123" s="66"/>
      <c r="K123" s="66"/>
      <c r="L123" s="66"/>
      <c r="M123" s="67">
        <f>VLOOKUP(B123,'fixed cost'!$B$4:$H$104,7,0)</f>
        <v>0.70899999999999996</v>
      </c>
      <c r="N123" s="66"/>
      <c r="O123" s="67">
        <f t="shared" si="13"/>
        <v>12.983188530540287</v>
      </c>
    </row>
    <row r="124" spans="1:15" s="119" customFormat="1" ht="15.75" hidden="1" customHeight="1" x14ac:dyDescent="0.25">
      <c r="A124" s="127">
        <f t="shared" si="19"/>
        <v>101</v>
      </c>
      <c r="B124" s="93" t="s">
        <v>162</v>
      </c>
      <c r="C124">
        <v>17.527999999999999</v>
      </c>
      <c r="D124" s="121"/>
      <c r="E124" s="94">
        <f t="shared" si="23"/>
        <v>17.527999999999999</v>
      </c>
      <c r="F124" s="173">
        <f t="shared" si="18"/>
        <v>3.5700000000000003E-2</v>
      </c>
      <c r="G124" s="94">
        <f t="shared" si="12"/>
        <v>18.176915897542255</v>
      </c>
      <c r="H124" s="92"/>
      <c r="I124" s="94">
        <f>VLOOKUP(B124,'fixed cost'!$B$4:$R$116,17,0)</f>
        <v>0</v>
      </c>
      <c r="J124" s="92"/>
      <c r="K124" s="92"/>
      <c r="L124" s="92"/>
      <c r="M124" s="92"/>
      <c r="N124" s="92"/>
      <c r="O124" s="94">
        <f t="shared" si="13"/>
        <v>18.176915897542255</v>
      </c>
    </row>
    <row r="125" spans="1:15" s="27" customFormat="1" ht="15.75" hidden="1" customHeight="1" x14ac:dyDescent="0.25">
      <c r="A125" s="127">
        <f t="shared" si="19"/>
        <v>102</v>
      </c>
      <c r="B125" s="46" t="s">
        <v>162</v>
      </c>
      <c r="C125" s="122">
        <f>C124</f>
        <v>17.527999999999999</v>
      </c>
      <c r="D125" s="122"/>
      <c r="E125" s="67">
        <f t="shared" si="23"/>
        <v>17.527999999999999</v>
      </c>
      <c r="F125" s="184">
        <f t="shared" si="18"/>
        <v>3.5700000000000003E-2</v>
      </c>
      <c r="G125" s="67">
        <f t="shared" si="12"/>
        <v>18.176915897542255</v>
      </c>
      <c r="H125" s="66"/>
      <c r="I125" s="67">
        <f>VLOOKUP(B125,'fixed cost'!$B$4:$R$116,17,0)</f>
        <v>0</v>
      </c>
      <c r="J125" s="66"/>
      <c r="K125" s="66"/>
      <c r="L125" s="66"/>
      <c r="M125" s="67">
        <f>VLOOKUP(B125,'fixed cost'!$B$4:$H$104,7,0)</f>
        <v>0.70899999999999996</v>
      </c>
      <c r="N125" s="66"/>
      <c r="O125" s="67">
        <f t="shared" si="13"/>
        <v>18.885915897542255</v>
      </c>
    </row>
    <row r="126" spans="1:15" ht="15.75" customHeight="1" x14ac:dyDescent="0.25">
      <c r="A126" s="127">
        <f t="shared" si="19"/>
        <v>103</v>
      </c>
      <c r="B126" s="4" t="s">
        <v>154</v>
      </c>
      <c r="C126" s="15">
        <v>2.085</v>
      </c>
      <c r="D126" s="15"/>
      <c r="E126" s="1">
        <f t="shared" si="23"/>
        <v>2.085</v>
      </c>
      <c r="F126" s="7">
        <f t="shared" si="18"/>
        <v>3.5700000000000003E-2</v>
      </c>
      <c r="G126" s="1">
        <f t="shared" si="12"/>
        <v>2.1621901897749662</v>
      </c>
      <c r="H126" s="2"/>
      <c r="I126" s="1">
        <f>VLOOKUP(B126,'fixed cost'!$B$4:$R$116,17,0)</f>
        <v>0</v>
      </c>
      <c r="J126" s="2"/>
      <c r="K126" s="2"/>
      <c r="L126" s="2"/>
      <c r="M126" s="2"/>
      <c r="N126" s="2"/>
      <c r="O126" s="1">
        <f t="shared" si="13"/>
        <v>2.1621901897749662</v>
      </c>
    </row>
    <row r="127" spans="1:15" s="27" customFormat="1" ht="15.75" hidden="1" customHeight="1" x14ac:dyDescent="0.25">
      <c r="A127" s="127">
        <f t="shared" si="19"/>
        <v>104</v>
      </c>
      <c r="B127" s="46" t="s">
        <v>154</v>
      </c>
      <c r="C127" s="122">
        <f>C126</f>
        <v>2.085</v>
      </c>
      <c r="D127" s="122"/>
      <c r="E127" s="67">
        <f t="shared" si="23"/>
        <v>2.085</v>
      </c>
      <c r="F127" s="184">
        <f t="shared" si="18"/>
        <v>3.5700000000000003E-2</v>
      </c>
      <c r="G127" s="67">
        <f t="shared" si="12"/>
        <v>2.1621901897749662</v>
      </c>
      <c r="H127" s="66"/>
      <c r="I127" s="67">
        <f>VLOOKUP(B127,'fixed cost'!$B$4:$R$116,17,0)</f>
        <v>0</v>
      </c>
      <c r="J127" s="66"/>
      <c r="K127" s="66"/>
      <c r="L127" s="66"/>
      <c r="M127" s="67">
        <f>VLOOKUP(B127,'fixed cost'!$B$4:$H$104,7,0)</f>
        <v>0.63500000000000001</v>
      </c>
      <c r="N127" s="66"/>
      <c r="O127" s="67">
        <f t="shared" si="13"/>
        <v>2.797190189774966</v>
      </c>
    </row>
    <row r="128" spans="1:15" s="119" customFormat="1" ht="15.75" hidden="1" customHeight="1" x14ac:dyDescent="0.25">
      <c r="A128" s="127">
        <f t="shared" si="19"/>
        <v>105</v>
      </c>
      <c r="B128" s="93" t="s">
        <v>155</v>
      </c>
      <c r="C128" s="94">
        <v>18.626999999999999</v>
      </c>
      <c r="D128" s="121"/>
      <c r="E128" s="94">
        <f t="shared" si="23"/>
        <v>18.626999999999999</v>
      </c>
      <c r="F128" s="173">
        <f t="shared" si="18"/>
        <v>3.5700000000000003E-2</v>
      </c>
      <c r="G128" s="94">
        <f t="shared" si="12"/>
        <v>19.316602716996783</v>
      </c>
      <c r="H128" s="92"/>
      <c r="I128" s="94">
        <f>VLOOKUP(B128,'fixed cost'!$B$4:$R$116,17,0)</f>
        <v>0</v>
      </c>
      <c r="J128" s="92"/>
      <c r="K128" s="92"/>
      <c r="L128" s="92"/>
      <c r="M128" s="92"/>
      <c r="N128" s="92"/>
      <c r="O128" s="94">
        <f t="shared" si="13"/>
        <v>19.316602716996783</v>
      </c>
    </row>
    <row r="129" spans="1:15" s="27" customFormat="1" ht="15.75" hidden="1" customHeight="1" x14ac:dyDescent="0.25">
      <c r="A129" s="127">
        <f t="shared" si="19"/>
        <v>106</v>
      </c>
      <c r="B129" s="46" t="s">
        <v>155</v>
      </c>
      <c r="C129" s="122">
        <f>C128</f>
        <v>18.626999999999999</v>
      </c>
      <c r="D129" s="122"/>
      <c r="E129" s="67">
        <f t="shared" si="23"/>
        <v>18.626999999999999</v>
      </c>
      <c r="F129" s="184">
        <f t="shared" si="18"/>
        <v>3.5700000000000003E-2</v>
      </c>
      <c r="G129" s="67">
        <f t="shared" si="12"/>
        <v>19.316602716996783</v>
      </c>
      <c r="H129" s="66"/>
      <c r="I129" s="67">
        <f>VLOOKUP(B129,'fixed cost'!$B$4:$R$116,17,0)</f>
        <v>0</v>
      </c>
      <c r="J129" s="66"/>
      <c r="K129" s="66"/>
      <c r="L129" s="66"/>
      <c r="M129" s="67">
        <f>VLOOKUP(B129,'fixed cost'!$B$4:$H$104,7,0)</f>
        <v>0.63500000000000001</v>
      </c>
      <c r="N129" s="66"/>
      <c r="O129" s="67">
        <f t="shared" si="13"/>
        <v>19.951602716996785</v>
      </c>
    </row>
    <row r="130" spans="1:15" s="119" customFormat="1" ht="15.75" hidden="1" customHeight="1" x14ac:dyDescent="0.25">
      <c r="A130" s="127">
        <f t="shared" si="19"/>
        <v>107</v>
      </c>
      <c r="B130" s="93" t="s">
        <v>156</v>
      </c>
      <c r="C130">
        <v>12.045</v>
      </c>
      <c r="D130" s="121"/>
      <c r="E130" s="94">
        <f t="shared" si="23"/>
        <v>12.045</v>
      </c>
      <c r="F130" s="173">
        <f t="shared" si="18"/>
        <v>3.5700000000000003E-2</v>
      </c>
      <c r="G130" s="94">
        <f t="shared" si="12"/>
        <v>12.49092606035466</v>
      </c>
      <c r="H130" s="92"/>
      <c r="I130" s="94">
        <f>VLOOKUP(B130,'fixed cost'!$B$4:$R$116,17,0)</f>
        <v>0</v>
      </c>
      <c r="J130" s="92"/>
      <c r="K130" s="92"/>
      <c r="L130" s="92"/>
      <c r="M130" s="92"/>
      <c r="N130" s="92"/>
      <c r="O130" s="94">
        <f t="shared" si="13"/>
        <v>12.49092606035466</v>
      </c>
    </row>
    <row r="131" spans="1:15" s="27" customFormat="1" ht="15.75" hidden="1" customHeight="1" x14ac:dyDescent="0.25">
      <c r="A131" s="127">
        <f t="shared" si="19"/>
        <v>108</v>
      </c>
      <c r="B131" s="46" t="s">
        <v>156</v>
      </c>
      <c r="C131" s="122">
        <f>C130</f>
        <v>12.045</v>
      </c>
      <c r="D131" s="122"/>
      <c r="E131" s="67">
        <f t="shared" si="23"/>
        <v>12.045</v>
      </c>
      <c r="F131" s="184">
        <f t="shared" si="18"/>
        <v>3.5700000000000003E-2</v>
      </c>
      <c r="G131" s="67">
        <f t="shared" si="12"/>
        <v>12.49092606035466</v>
      </c>
      <c r="H131" s="66"/>
      <c r="I131" s="67">
        <f>VLOOKUP(B131,'fixed cost'!$B$4:$R$116,17,0)</f>
        <v>0</v>
      </c>
      <c r="J131" s="66"/>
      <c r="K131" s="66"/>
      <c r="L131" s="66"/>
      <c r="M131" s="67">
        <f>VLOOKUP(B131,'fixed cost'!$B$4:$H$104,7,0)</f>
        <v>0.63500000000000001</v>
      </c>
      <c r="N131" s="66"/>
      <c r="O131" s="67">
        <f t="shared" si="13"/>
        <v>13.12592606035466</v>
      </c>
    </row>
    <row r="132" spans="1:15" s="119" customFormat="1" ht="15.75" hidden="1" customHeight="1" x14ac:dyDescent="0.25">
      <c r="A132" s="127">
        <f t="shared" si="19"/>
        <v>109</v>
      </c>
      <c r="B132" s="93" t="s">
        <v>178</v>
      </c>
      <c r="C132" s="94">
        <v>9.1630000000000003</v>
      </c>
      <c r="D132" s="121"/>
      <c r="E132" s="94">
        <f t="shared" si="23"/>
        <v>9.1630000000000003</v>
      </c>
      <c r="F132" s="173">
        <f t="shared" si="18"/>
        <v>3.5700000000000003E-2</v>
      </c>
      <c r="G132" s="94">
        <f t="shared" si="12"/>
        <v>9.5022295965985695</v>
      </c>
      <c r="H132" s="92"/>
      <c r="I132" s="94">
        <f>VLOOKUP(B132,'fixed cost'!$B$4:$R$116,17,0)</f>
        <v>0</v>
      </c>
      <c r="J132" s="92"/>
      <c r="K132" s="92"/>
      <c r="L132" s="92"/>
      <c r="M132" s="92"/>
      <c r="N132" s="92"/>
      <c r="O132" s="94">
        <f t="shared" si="13"/>
        <v>9.5022295965985695</v>
      </c>
    </row>
    <row r="133" spans="1:15" s="27" customFormat="1" ht="15.75" hidden="1" customHeight="1" x14ac:dyDescent="0.25">
      <c r="A133" s="127">
        <f t="shared" si="19"/>
        <v>110</v>
      </c>
      <c r="B133" s="46" t="s">
        <v>178</v>
      </c>
      <c r="C133" s="122">
        <f>C132</f>
        <v>9.1630000000000003</v>
      </c>
      <c r="D133" s="122"/>
      <c r="E133" s="67">
        <f t="shared" si="23"/>
        <v>9.1630000000000003</v>
      </c>
      <c r="F133" s="184">
        <f t="shared" si="18"/>
        <v>3.5700000000000003E-2</v>
      </c>
      <c r="G133" s="67">
        <f t="shared" si="12"/>
        <v>9.5022295965985695</v>
      </c>
      <c r="H133" s="66"/>
      <c r="I133" s="67">
        <f>VLOOKUP(B133,'fixed cost'!$B$4:$R$116,17,0)</f>
        <v>0</v>
      </c>
      <c r="J133" s="66"/>
      <c r="K133" s="66"/>
      <c r="L133" s="66"/>
      <c r="M133" s="67">
        <f>VLOOKUP(B133,'fixed cost'!$B$4:$H$104,7,0)</f>
        <v>0.63500000000000001</v>
      </c>
      <c r="N133" s="66"/>
      <c r="O133" s="67">
        <f t="shared" si="13"/>
        <v>10.137229596598569</v>
      </c>
    </row>
    <row r="134" spans="1:15" s="119" customFormat="1" ht="15.75" hidden="1" customHeight="1" x14ac:dyDescent="0.25">
      <c r="A134" s="127">
        <f>A131+1</f>
        <v>109</v>
      </c>
      <c r="B134" s="97" t="s">
        <v>143</v>
      </c>
      <c r="C134" s="98">
        <v>1.0049999999999999</v>
      </c>
      <c r="D134" s="98"/>
      <c r="E134" s="98">
        <f t="shared" si="23"/>
        <v>1.0049999999999999</v>
      </c>
      <c r="F134" s="172">
        <f t="shared" si="18"/>
        <v>3.5700000000000003E-2</v>
      </c>
      <c r="G134" s="98">
        <f t="shared" si="12"/>
        <v>1.0422067821217462</v>
      </c>
      <c r="H134" s="96"/>
      <c r="I134" s="98">
        <f>VLOOKUP(B134,'fixed cost'!$B$4:$R$116,17,0)</f>
        <v>0</v>
      </c>
      <c r="J134" s="96"/>
      <c r="K134" s="96"/>
      <c r="L134" s="96"/>
      <c r="M134" s="96"/>
      <c r="N134" s="96"/>
      <c r="O134" s="98">
        <f t="shared" ref="O134:O185" si="25">SUM(G134:N134)</f>
        <v>1.0422067821217462</v>
      </c>
    </row>
    <row r="135" spans="1:15" s="119" customFormat="1" ht="15.75" hidden="1" customHeight="1" x14ac:dyDescent="0.25">
      <c r="A135" s="127">
        <f t="shared" si="19"/>
        <v>110</v>
      </c>
      <c r="B135" s="97" t="s">
        <v>149</v>
      </c>
      <c r="C135" s="98">
        <v>1.97</v>
      </c>
      <c r="D135" s="98"/>
      <c r="E135" s="98">
        <f t="shared" si="23"/>
        <v>1.97</v>
      </c>
      <c r="F135" s="172">
        <f t="shared" si="18"/>
        <v>3.5700000000000003E-2</v>
      </c>
      <c r="G135" s="98">
        <f t="shared" si="12"/>
        <v>2.0429326972933732</v>
      </c>
      <c r="H135" s="96"/>
      <c r="I135" s="98">
        <f>VLOOKUP(B135,'fixed cost'!$B$4:$R$116,17,0)</f>
        <v>0</v>
      </c>
      <c r="J135" s="96"/>
      <c r="K135" s="96"/>
      <c r="L135" s="96"/>
      <c r="M135" s="96"/>
      <c r="N135" s="96"/>
      <c r="O135" s="98">
        <f t="shared" si="25"/>
        <v>2.0429326972933732</v>
      </c>
    </row>
    <row r="136" spans="1:15" ht="15.75" customHeight="1" x14ac:dyDescent="0.25">
      <c r="A136" s="127">
        <f t="shared" si="19"/>
        <v>111</v>
      </c>
      <c r="B136" s="4" t="s">
        <v>157</v>
      </c>
      <c r="C136" s="15">
        <v>2.0499999999999998</v>
      </c>
      <c r="D136" s="15"/>
      <c r="E136" s="1">
        <f t="shared" si="23"/>
        <v>2.0499999999999998</v>
      </c>
      <c r="F136" s="7">
        <f t="shared" si="18"/>
        <v>3.5700000000000003E-2</v>
      </c>
      <c r="G136" s="1">
        <f t="shared" si="12"/>
        <v>2.1258944311936117</v>
      </c>
      <c r="H136" s="2"/>
      <c r="I136" s="1">
        <f>VLOOKUP(B136,'fixed cost'!$B$4:$R$116,17,0)</f>
        <v>0</v>
      </c>
      <c r="J136" s="2"/>
      <c r="K136" s="2"/>
      <c r="L136" s="2"/>
      <c r="M136" s="2"/>
      <c r="N136" s="2"/>
      <c r="O136" s="1">
        <f t="shared" si="25"/>
        <v>2.1258944311936117</v>
      </c>
    </row>
    <row r="137" spans="1:15" s="27" customFormat="1" ht="15.75" hidden="1" customHeight="1" x14ac:dyDescent="0.25">
      <c r="A137" s="127">
        <f t="shared" si="19"/>
        <v>112</v>
      </c>
      <c r="B137" s="46" t="s">
        <v>157</v>
      </c>
      <c r="C137" s="122">
        <f>C136</f>
        <v>2.0499999999999998</v>
      </c>
      <c r="D137" s="122">
        <f>D136</f>
        <v>0</v>
      </c>
      <c r="E137" s="67">
        <f t="shared" si="23"/>
        <v>2.0499999999999998</v>
      </c>
      <c r="F137" s="184">
        <f t="shared" si="18"/>
        <v>3.5700000000000003E-2</v>
      </c>
      <c r="G137" s="67">
        <f t="shared" si="12"/>
        <v>2.1258944311936117</v>
      </c>
      <c r="H137" s="66"/>
      <c r="I137" s="67">
        <f>VLOOKUP(B137,'fixed cost'!$B$4:$R$116,17,0)</f>
        <v>0</v>
      </c>
      <c r="J137" s="66"/>
      <c r="K137" s="66"/>
      <c r="L137" s="66"/>
      <c r="M137" s="67">
        <f>VLOOKUP(B137,'fixed cost'!$B$4:$H$104,7,0)</f>
        <v>0.52960707387180206</v>
      </c>
      <c r="N137" s="66"/>
      <c r="O137" s="67">
        <f t="shared" si="25"/>
        <v>2.6555015050654136</v>
      </c>
    </row>
    <row r="138" spans="1:15" s="119" customFormat="1" ht="15.75" hidden="1" customHeight="1" x14ac:dyDescent="0.25">
      <c r="A138" s="127">
        <f t="shared" si="19"/>
        <v>113</v>
      </c>
      <c r="B138" s="93" t="s">
        <v>158</v>
      </c>
      <c r="C138" s="94">
        <v>23.888000000000002</v>
      </c>
      <c r="D138" s="94"/>
      <c r="E138" s="94">
        <f t="shared" si="23"/>
        <v>23.888000000000002</v>
      </c>
      <c r="F138" s="173">
        <f t="shared" si="18"/>
        <v>3.5700000000000003E-2</v>
      </c>
      <c r="G138" s="94">
        <f t="shared" si="12"/>
        <v>24.772373742611222</v>
      </c>
      <c r="H138" s="92"/>
      <c r="I138" s="94">
        <f>VLOOKUP(B138,'fixed cost'!$B$4:$R$116,17,0)</f>
        <v>0</v>
      </c>
      <c r="J138" s="92"/>
      <c r="K138" s="92"/>
      <c r="L138" s="92"/>
      <c r="M138" s="92"/>
      <c r="N138" s="92"/>
      <c r="O138" s="94">
        <f t="shared" si="25"/>
        <v>24.772373742611222</v>
      </c>
    </row>
    <row r="139" spans="1:15" s="27" customFormat="1" ht="15.75" hidden="1" customHeight="1" x14ac:dyDescent="0.25">
      <c r="A139" s="127">
        <f t="shared" si="19"/>
        <v>114</v>
      </c>
      <c r="B139" s="46" t="s">
        <v>158</v>
      </c>
      <c r="C139" s="67">
        <f>C138</f>
        <v>23.888000000000002</v>
      </c>
      <c r="D139" s="67">
        <f>D138</f>
        <v>0</v>
      </c>
      <c r="E139" s="67">
        <f t="shared" si="23"/>
        <v>23.888000000000002</v>
      </c>
      <c r="F139" s="184">
        <f t="shared" si="18"/>
        <v>3.5700000000000003E-2</v>
      </c>
      <c r="G139" s="67">
        <f t="shared" ref="G139:G185" si="26">E139/((100%-F139))</f>
        <v>24.772373742611222</v>
      </c>
      <c r="H139" s="66"/>
      <c r="I139" s="67">
        <f>VLOOKUP(B139,'fixed cost'!$B$4:$R$116,17,0)</f>
        <v>0</v>
      </c>
      <c r="J139" s="66"/>
      <c r="K139" s="66"/>
      <c r="L139" s="66"/>
      <c r="M139" s="67">
        <f>VLOOKUP(B139,'fixed cost'!$B$4:$H$104,7,0)</f>
        <v>0.52960707387180206</v>
      </c>
      <c r="N139" s="66"/>
      <c r="O139" s="67">
        <f t="shared" si="25"/>
        <v>25.301980816483024</v>
      </c>
    </row>
    <row r="140" spans="1:15" s="119" customFormat="1" ht="15.75" hidden="1" customHeight="1" x14ac:dyDescent="0.25">
      <c r="A140" s="127">
        <f t="shared" si="19"/>
        <v>115</v>
      </c>
      <c r="B140" s="93" t="s">
        <v>159</v>
      </c>
      <c r="C140" s="94">
        <v>11.452999999999999</v>
      </c>
      <c r="D140" s="94"/>
      <c r="E140" s="94">
        <f t="shared" si="23"/>
        <v>11.452999999999999</v>
      </c>
      <c r="F140" s="173">
        <f t="shared" si="18"/>
        <v>3.5700000000000003E-2</v>
      </c>
      <c r="G140" s="94">
        <f t="shared" si="26"/>
        <v>11.877009229492895</v>
      </c>
      <c r="H140" s="92"/>
      <c r="I140" s="94">
        <f>VLOOKUP(B140,'fixed cost'!$B$4:$R$116,17,0)</f>
        <v>0</v>
      </c>
      <c r="J140" s="92"/>
      <c r="K140" s="92"/>
      <c r="L140" s="92"/>
      <c r="M140" s="92"/>
      <c r="N140" s="92"/>
      <c r="O140" s="94">
        <f t="shared" si="25"/>
        <v>11.877009229492895</v>
      </c>
    </row>
    <row r="141" spans="1:15" s="27" customFormat="1" ht="15.75" hidden="1" customHeight="1" x14ac:dyDescent="0.25">
      <c r="A141" s="127">
        <f t="shared" si="19"/>
        <v>116</v>
      </c>
      <c r="B141" s="46" t="s">
        <v>159</v>
      </c>
      <c r="C141" s="67">
        <f>C140</f>
        <v>11.452999999999999</v>
      </c>
      <c r="D141" s="67">
        <f>D140</f>
        <v>0</v>
      </c>
      <c r="E141" s="67">
        <f t="shared" si="23"/>
        <v>11.452999999999999</v>
      </c>
      <c r="F141" s="184">
        <f t="shared" si="18"/>
        <v>3.5700000000000003E-2</v>
      </c>
      <c r="G141" s="67">
        <f t="shared" si="26"/>
        <v>11.877009229492895</v>
      </c>
      <c r="H141" s="66"/>
      <c r="I141" s="67">
        <f>VLOOKUP(B141,'fixed cost'!$B$4:$R$116,17,0)</f>
        <v>0</v>
      </c>
      <c r="J141" s="66"/>
      <c r="K141" s="66"/>
      <c r="L141" s="66"/>
      <c r="M141" s="67">
        <f>VLOOKUP(B141,'fixed cost'!$B$4:$H$104,7,0)</f>
        <v>0.52960707387180206</v>
      </c>
      <c r="N141" s="66"/>
      <c r="O141" s="67">
        <f t="shared" si="25"/>
        <v>12.406616303364697</v>
      </c>
    </row>
    <row r="142" spans="1:15" s="27" customFormat="1" ht="15.75" hidden="1" customHeight="1" x14ac:dyDescent="0.25">
      <c r="A142" s="127">
        <f t="shared" si="19"/>
        <v>117</v>
      </c>
      <c r="B142" s="93" t="s">
        <v>177</v>
      </c>
      <c r="C142" s="94">
        <v>8.4760000000000009</v>
      </c>
      <c r="D142" s="94"/>
      <c r="E142" s="94">
        <f t="shared" si="23"/>
        <v>8.4760000000000009</v>
      </c>
      <c r="F142" s="173">
        <f t="shared" si="18"/>
        <v>3.5700000000000003E-2</v>
      </c>
      <c r="G142" s="94">
        <f t="shared" si="26"/>
        <v>8.7897957067302706</v>
      </c>
      <c r="H142" s="92"/>
      <c r="I142" s="94">
        <f>VLOOKUP(B142,'fixed cost'!$B$4:$R$116,17,0)</f>
        <v>0</v>
      </c>
      <c r="J142" s="92"/>
      <c r="K142" s="92"/>
      <c r="L142" s="92"/>
      <c r="M142" s="92"/>
      <c r="N142" s="92"/>
      <c r="O142" s="94">
        <f t="shared" si="25"/>
        <v>8.7897957067302706</v>
      </c>
    </row>
    <row r="143" spans="1:15" s="27" customFormat="1" ht="15.75" hidden="1" customHeight="1" x14ac:dyDescent="0.25">
      <c r="A143" s="127">
        <f t="shared" si="19"/>
        <v>118</v>
      </c>
      <c r="B143" s="46" t="s">
        <v>177</v>
      </c>
      <c r="C143" s="67">
        <f>C142</f>
        <v>8.4760000000000009</v>
      </c>
      <c r="D143" s="67">
        <f>D142</f>
        <v>0</v>
      </c>
      <c r="E143" s="67">
        <f t="shared" si="23"/>
        <v>8.4760000000000009</v>
      </c>
      <c r="F143" s="184">
        <f t="shared" si="18"/>
        <v>3.5700000000000003E-2</v>
      </c>
      <c r="G143" s="67">
        <f t="shared" si="26"/>
        <v>8.7897957067302706</v>
      </c>
      <c r="H143" s="66"/>
      <c r="I143" s="67">
        <f>VLOOKUP(B143,'fixed cost'!$B$4:$R$116,17,0)</f>
        <v>0</v>
      </c>
      <c r="J143" s="66"/>
      <c r="K143" s="66"/>
      <c r="L143" s="66"/>
      <c r="M143" s="67">
        <f>VLOOKUP(B143,'fixed cost'!$B$4:$H$104,7,0)</f>
        <v>0.52960707387180206</v>
      </c>
      <c r="N143" s="66"/>
      <c r="O143" s="67">
        <f t="shared" si="25"/>
        <v>9.3194027806020721</v>
      </c>
    </row>
    <row r="144" spans="1:15" s="119" customFormat="1" ht="15.75" hidden="1" customHeight="1" x14ac:dyDescent="0.25">
      <c r="A144" s="127">
        <f>A143+1</f>
        <v>119</v>
      </c>
      <c r="B144" s="97" t="s">
        <v>142</v>
      </c>
      <c r="C144" s="98">
        <v>1.2549999999999999</v>
      </c>
      <c r="D144" s="98"/>
      <c r="E144" s="98">
        <f t="shared" si="23"/>
        <v>1.2549999999999999</v>
      </c>
      <c r="F144" s="172">
        <f t="shared" si="18"/>
        <v>3.5700000000000003E-2</v>
      </c>
      <c r="G144" s="98">
        <f t="shared" si="26"/>
        <v>1.3014622005599916</v>
      </c>
      <c r="H144" s="96"/>
      <c r="I144" s="98">
        <f>VLOOKUP(B144,'fixed cost'!$B$4:$R$116,17,0)</f>
        <v>0</v>
      </c>
      <c r="J144" s="96"/>
      <c r="K144" s="96"/>
      <c r="L144" s="96"/>
      <c r="M144" s="96"/>
      <c r="N144" s="96"/>
      <c r="O144" s="98">
        <f t="shared" si="25"/>
        <v>1.3014622005599916</v>
      </c>
    </row>
    <row r="145" spans="1:15" s="119" customFormat="1" ht="15.75" hidden="1" customHeight="1" x14ac:dyDescent="0.25">
      <c r="A145" s="127">
        <f t="shared" si="19"/>
        <v>120</v>
      </c>
      <c r="B145" s="97" t="s">
        <v>140</v>
      </c>
      <c r="C145" s="98">
        <v>2.3279999999999998</v>
      </c>
      <c r="D145" s="98"/>
      <c r="E145" s="98">
        <f t="shared" si="23"/>
        <v>2.3279999999999998</v>
      </c>
      <c r="F145" s="172">
        <f t="shared" si="18"/>
        <v>3.5700000000000003E-2</v>
      </c>
      <c r="G145" s="98">
        <f t="shared" si="26"/>
        <v>2.4141864564969406</v>
      </c>
      <c r="H145" s="96"/>
      <c r="I145" s="98">
        <f>VLOOKUP(B145,'fixed cost'!$B$4:$R$116,17,0)</f>
        <v>0</v>
      </c>
      <c r="J145" s="96"/>
      <c r="K145" s="96"/>
      <c r="L145" s="96"/>
      <c r="M145" s="96"/>
      <c r="N145" s="96"/>
      <c r="O145" s="98">
        <f t="shared" si="25"/>
        <v>2.4141864564969406</v>
      </c>
    </row>
    <row r="146" spans="1:15" ht="15.75" customHeight="1" x14ac:dyDescent="0.25">
      <c r="A146" s="127">
        <f t="shared" si="19"/>
        <v>121</v>
      </c>
      <c r="B146" s="4" t="s">
        <v>146</v>
      </c>
      <c r="C146" s="1">
        <v>4.5199999999999996</v>
      </c>
      <c r="D146" s="1"/>
      <c r="E146" s="1">
        <f t="shared" si="23"/>
        <v>4.5199999999999996</v>
      </c>
      <c r="F146" s="7">
        <f t="shared" si="18"/>
        <v>3.5700000000000003E-2</v>
      </c>
      <c r="G146" s="1">
        <f t="shared" si="26"/>
        <v>4.6873379653634757</v>
      </c>
      <c r="H146" s="2"/>
      <c r="I146" s="1">
        <f>VLOOKUP(B146,'fixed cost'!$B$4:$R$116,17,0)</f>
        <v>0</v>
      </c>
      <c r="J146" s="2"/>
      <c r="K146" s="2"/>
      <c r="L146" s="2"/>
      <c r="M146" s="2"/>
      <c r="N146" s="2"/>
      <c r="O146" s="1">
        <f t="shared" si="25"/>
        <v>4.6873379653634757</v>
      </c>
    </row>
    <row r="147" spans="1:15" s="119" customFormat="1" ht="15.75" hidden="1" customHeight="1" x14ac:dyDescent="0.25">
      <c r="A147" s="127">
        <f t="shared" si="19"/>
        <v>122</v>
      </c>
      <c r="B147" s="46" t="s">
        <v>146</v>
      </c>
      <c r="C147" s="67">
        <f>C146</f>
        <v>4.5199999999999996</v>
      </c>
      <c r="D147" s="67">
        <f>D146</f>
        <v>0</v>
      </c>
      <c r="E147" s="67">
        <f t="shared" si="23"/>
        <v>4.5199999999999996</v>
      </c>
      <c r="F147" s="184">
        <f t="shared" si="18"/>
        <v>3.5700000000000003E-2</v>
      </c>
      <c r="G147" s="67">
        <f t="shared" si="26"/>
        <v>4.6873379653634757</v>
      </c>
      <c r="H147" s="66"/>
      <c r="I147" s="67">
        <f>VLOOKUP(B147,'fixed cost'!$B$4:$R$116,17,0)</f>
        <v>0</v>
      </c>
      <c r="J147" s="66"/>
      <c r="K147" s="66"/>
      <c r="L147" s="66"/>
      <c r="M147" s="67">
        <f>VLOOKUP(B147,'fixed cost'!$B$4:$H$104,7,0)</f>
        <v>1.56</v>
      </c>
      <c r="N147" s="66"/>
      <c r="O147" s="67">
        <f t="shared" si="25"/>
        <v>6.2473379653634762</v>
      </c>
    </row>
    <row r="148" spans="1:15" s="119" customFormat="1" ht="15.75" hidden="1" customHeight="1" x14ac:dyDescent="0.25">
      <c r="A148" s="127">
        <f t="shared" si="19"/>
        <v>123</v>
      </c>
      <c r="B148" s="97" t="s">
        <v>164</v>
      </c>
      <c r="C148" s="98">
        <v>1.9690000000000001</v>
      </c>
      <c r="D148" s="98"/>
      <c r="E148" s="98">
        <f t="shared" si="23"/>
        <v>1.9690000000000001</v>
      </c>
      <c r="F148" s="172">
        <f t="shared" si="18"/>
        <v>3.5700000000000003E-2</v>
      </c>
      <c r="G148" s="98">
        <f t="shared" si="26"/>
        <v>2.0418956756196205</v>
      </c>
      <c r="H148" s="96"/>
      <c r="I148" s="98">
        <f>VLOOKUP(B148,'fixed cost'!$B$4:$R$116,17,0)</f>
        <v>0</v>
      </c>
      <c r="J148" s="96"/>
      <c r="K148" s="96"/>
      <c r="L148" s="96"/>
      <c r="M148" s="96"/>
      <c r="N148" s="96"/>
      <c r="O148" s="98">
        <f t="shared" si="25"/>
        <v>2.0418956756196205</v>
      </c>
    </row>
    <row r="149" spans="1:15" s="119" customFormat="1" ht="15.75" hidden="1" customHeight="1" x14ac:dyDescent="0.25">
      <c r="A149" s="127">
        <f t="shared" si="19"/>
        <v>124</v>
      </c>
      <c r="B149" s="97" t="s">
        <v>148</v>
      </c>
      <c r="C149" s="98">
        <v>2.452</v>
      </c>
      <c r="D149" s="98"/>
      <c r="E149" s="98">
        <f t="shared" si="23"/>
        <v>2.452</v>
      </c>
      <c r="F149" s="172">
        <f t="shared" si="18"/>
        <v>3.5700000000000003E-2</v>
      </c>
      <c r="G149" s="98">
        <f t="shared" si="26"/>
        <v>2.5427771440423101</v>
      </c>
      <c r="H149" s="96"/>
      <c r="I149" s="98">
        <f>VLOOKUP(B149,'fixed cost'!$B$4:$R$116,17,0)</f>
        <v>0</v>
      </c>
      <c r="J149" s="96"/>
      <c r="K149" s="96"/>
      <c r="L149" s="96"/>
      <c r="M149" s="96"/>
      <c r="N149" s="96"/>
      <c r="O149" s="98">
        <f t="shared" si="25"/>
        <v>2.5427771440423101</v>
      </c>
    </row>
    <row r="150" spans="1:15" s="95" customFormat="1" ht="15.75" hidden="1" customHeight="1" x14ac:dyDescent="0.25">
      <c r="A150" s="127">
        <f t="shared" si="19"/>
        <v>125</v>
      </c>
      <c r="B150" s="97" t="s">
        <v>147</v>
      </c>
      <c r="C150" s="98">
        <v>2.746</v>
      </c>
      <c r="D150" s="98"/>
      <c r="E150" s="98">
        <f t="shared" si="23"/>
        <v>2.746</v>
      </c>
      <c r="F150" s="172">
        <f t="shared" si="18"/>
        <v>3.5700000000000003E-2</v>
      </c>
      <c r="G150" s="98">
        <f t="shared" si="26"/>
        <v>2.8476615161256871</v>
      </c>
      <c r="H150" s="96"/>
      <c r="I150" s="98">
        <f>VLOOKUP(B150,'fixed cost'!$B$4:$R$116,17,0)</f>
        <v>0</v>
      </c>
      <c r="J150" s="96"/>
      <c r="K150" s="96"/>
      <c r="L150" s="96"/>
      <c r="M150" s="96"/>
      <c r="N150" s="96"/>
      <c r="O150" s="98">
        <f t="shared" si="25"/>
        <v>2.8476615161256871</v>
      </c>
    </row>
    <row r="151" spans="1:15" ht="15.75" customHeight="1" x14ac:dyDescent="0.25">
      <c r="A151" s="127">
        <f t="shared" si="19"/>
        <v>126</v>
      </c>
      <c r="B151" s="4" t="s">
        <v>168</v>
      </c>
      <c r="C151" s="1">
        <v>2.7730000000000001</v>
      </c>
      <c r="D151" s="1"/>
      <c r="E151" s="1">
        <f t="shared" si="23"/>
        <v>2.7730000000000001</v>
      </c>
      <c r="F151" s="7">
        <f t="shared" si="18"/>
        <v>3.5700000000000003E-2</v>
      </c>
      <c r="G151" s="1">
        <f t="shared" si="26"/>
        <v>2.8756611013170175</v>
      </c>
      <c r="H151" s="2"/>
      <c r="I151" s="1">
        <f>VLOOKUP(B151,'fixed cost'!$B$4:$R$116,17,0)</f>
        <v>0</v>
      </c>
      <c r="J151" s="2"/>
      <c r="K151" s="2"/>
      <c r="L151" s="2"/>
      <c r="M151" s="2"/>
      <c r="N151" s="2"/>
      <c r="O151" s="1">
        <f t="shared" si="25"/>
        <v>2.8756611013170175</v>
      </c>
    </row>
    <row r="152" spans="1:15" s="27" customFormat="1" ht="15.75" hidden="1" customHeight="1" x14ac:dyDescent="0.25">
      <c r="A152" s="127">
        <f t="shared" si="19"/>
        <v>127</v>
      </c>
      <c r="B152" s="46" t="s">
        <v>168</v>
      </c>
      <c r="C152" s="67">
        <f>C151</f>
        <v>2.7730000000000001</v>
      </c>
      <c r="D152" s="67">
        <v>0</v>
      </c>
      <c r="E152" s="67">
        <f t="shared" si="23"/>
        <v>2.7730000000000001</v>
      </c>
      <c r="F152" s="184">
        <f t="shared" si="18"/>
        <v>3.5700000000000003E-2</v>
      </c>
      <c r="G152" s="67">
        <f>E152/((100%-F152))</f>
        <v>2.8756611013170175</v>
      </c>
      <c r="H152" s="66"/>
      <c r="I152" s="67">
        <f>VLOOKUP(B152,'fixed cost'!$B$4:$R$116,17,0)</f>
        <v>0</v>
      </c>
      <c r="J152" s="66"/>
      <c r="K152" s="66"/>
      <c r="L152" s="66"/>
      <c r="M152" s="67">
        <f>VLOOKUP(B152,'fixed cost'!$B$4:$H$104,7,0)</f>
        <v>2.2494752521182821</v>
      </c>
      <c r="N152" s="66"/>
      <c r="O152" s="67">
        <f t="shared" si="25"/>
        <v>5.1251363534353001</v>
      </c>
    </row>
    <row r="153" spans="1:15" s="95" customFormat="1" ht="15.75" hidden="1" customHeight="1" x14ac:dyDescent="0.25">
      <c r="A153" s="127">
        <f t="shared" si="19"/>
        <v>128</v>
      </c>
      <c r="B153" s="97" t="s">
        <v>138</v>
      </c>
      <c r="C153" s="98">
        <v>1.2030000000000001</v>
      </c>
      <c r="D153" s="98"/>
      <c r="E153" s="98">
        <f t="shared" si="23"/>
        <v>1.2030000000000001</v>
      </c>
      <c r="F153" s="172">
        <f t="shared" si="18"/>
        <v>3.5700000000000003E-2</v>
      </c>
      <c r="G153" s="98">
        <f t="shared" si="26"/>
        <v>1.2475370735248368</v>
      </c>
      <c r="H153" s="96"/>
      <c r="I153" s="98">
        <f>VLOOKUP(B153,'fixed cost'!$B$4:$R$116,17,0)</f>
        <v>0</v>
      </c>
      <c r="J153" s="96"/>
      <c r="K153" s="96"/>
      <c r="L153" s="96"/>
      <c r="M153" s="96"/>
      <c r="N153" s="96"/>
      <c r="O153" s="98">
        <f t="shared" si="25"/>
        <v>1.2475370735248368</v>
      </c>
    </row>
    <row r="154" spans="1:15" s="95" customFormat="1" ht="15.75" hidden="1" customHeight="1" x14ac:dyDescent="0.25">
      <c r="A154" s="127">
        <f t="shared" si="19"/>
        <v>129</v>
      </c>
      <c r="B154" s="93" t="s">
        <v>150</v>
      </c>
      <c r="C154">
        <v>5.476</v>
      </c>
      <c r="D154" s="94"/>
      <c r="E154" s="94">
        <f t="shared" si="23"/>
        <v>5.476</v>
      </c>
      <c r="F154" s="173">
        <f t="shared" si="18"/>
        <v>3.5700000000000003E-2</v>
      </c>
      <c r="G154" s="94">
        <f t="shared" si="26"/>
        <v>5.6787306854713258</v>
      </c>
      <c r="H154" s="92"/>
      <c r="I154" s="94">
        <f>VLOOKUP(B154,'fixed cost'!$B$4:$R$116,17,0)</f>
        <v>0</v>
      </c>
      <c r="J154" s="92"/>
      <c r="K154" s="92"/>
      <c r="L154" s="92"/>
      <c r="M154" s="92"/>
      <c r="N154" s="92"/>
      <c r="O154" s="94">
        <f t="shared" si="25"/>
        <v>5.6787306854713258</v>
      </c>
    </row>
    <row r="155" spans="1:15" s="95" customFormat="1" ht="15.75" hidden="1" customHeight="1" x14ac:dyDescent="0.25">
      <c r="A155" s="127">
        <f t="shared" si="19"/>
        <v>130</v>
      </c>
      <c r="B155" s="126" t="s">
        <v>150</v>
      </c>
      <c r="C155" s="67">
        <f>C154</f>
        <v>5.476</v>
      </c>
      <c r="D155" s="67">
        <f>D154</f>
        <v>0</v>
      </c>
      <c r="E155" s="67">
        <f t="shared" si="23"/>
        <v>5.476</v>
      </c>
      <c r="F155" s="184">
        <f t="shared" si="18"/>
        <v>3.5700000000000003E-2</v>
      </c>
      <c r="G155" s="67">
        <f t="shared" si="26"/>
        <v>5.6787306854713258</v>
      </c>
      <c r="H155" s="66"/>
      <c r="I155" s="67">
        <f>VLOOKUP(B155,'fixed cost'!$B$4:$R$116,17,0)</f>
        <v>0</v>
      </c>
      <c r="J155" s="66"/>
      <c r="K155" s="66"/>
      <c r="L155" s="66"/>
      <c r="M155" s="67">
        <f>VLOOKUP(B155,'fixed cost'!$B$4:$H$104,7,0)</f>
        <v>0.65153793249911163</v>
      </c>
      <c r="N155" s="66"/>
      <c r="O155" s="67">
        <f t="shared" si="25"/>
        <v>6.3302686179704377</v>
      </c>
    </row>
    <row r="156" spans="1:15" s="95" customFormat="1" ht="15.75" hidden="1" customHeight="1" x14ac:dyDescent="0.25">
      <c r="A156" s="127">
        <f t="shared" si="19"/>
        <v>131</v>
      </c>
      <c r="B156" s="97" t="s">
        <v>141</v>
      </c>
      <c r="C156" s="98">
        <v>1.5389999999999999</v>
      </c>
      <c r="D156" s="98"/>
      <c r="E156" s="98">
        <f t="shared" si="23"/>
        <v>1.5389999999999999</v>
      </c>
      <c r="F156" s="172">
        <f t="shared" si="18"/>
        <v>3.5700000000000003E-2</v>
      </c>
      <c r="G156" s="98">
        <f t="shared" si="26"/>
        <v>1.5959763559058382</v>
      </c>
      <c r="H156" s="96"/>
      <c r="I156" s="98">
        <f>VLOOKUP(B156,'fixed cost'!$B$4:$R$116,17,0)</f>
        <v>0</v>
      </c>
      <c r="J156" s="96"/>
      <c r="K156" s="96"/>
      <c r="L156" s="96"/>
      <c r="M156" s="96"/>
      <c r="N156" s="96"/>
      <c r="O156" s="98">
        <f t="shared" si="25"/>
        <v>1.5959763559058382</v>
      </c>
    </row>
    <row r="157" spans="1:15" s="95" customFormat="1" ht="15.75" hidden="1" customHeight="1" x14ac:dyDescent="0.25">
      <c r="A157" s="127">
        <f t="shared" si="19"/>
        <v>132</v>
      </c>
      <c r="B157" s="97" t="s">
        <v>137</v>
      </c>
      <c r="C157" s="98">
        <v>2.081</v>
      </c>
      <c r="D157" s="98"/>
      <c r="E157" s="98">
        <f t="shared" si="23"/>
        <v>2.081</v>
      </c>
      <c r="F157" s="172">
        <f t="shared" si="18"/>
        <v>3.5700000000000003E-2</v>
      </c>
      <c r="G157" s="98">
        <f t="shared" si="26"/>
        <v>2.1580421030799544</v>
      </c>
      <c r="H157" s="96"/>
      <c r="I157" s="98">
        <f>VLOOKUP(B157,'fixed cost'!$B$4:$R$116,17,0)</f>
        <v>0</v>
      </c>
      <c r="J157" s="96"/>
      <c r="K157" s="96"/>
      <c r="L157" s="96"/>
      <c r="M157" s="96"/>
      <c r="N157" s="96"/>
      <c r="O157" s="98">
        <f t="shared" si="25"/>
        <v>2.1580421030799544</v>
      </c>
    </row>
    <row r="158" spans="1:15" s="119" customFormat="1" ht="15.75" customHeight="1" x14ac:dyDescent="0.25">
      <c r="A158" s="127">
        <f t="shared" si="19"/>
        <v>133</v>
      </c>
      <c r="B158" s="4" t="s">
        <v>129</v>
      </c>
      <c r="C158">
        <v>1.585</v>
      </c>
      <c r="D158" s="1"/>
      <c r="E158" s="1">
        <f t="shared" si="23"/>
        <v>1.585</v>
      </c>
      <c r="F158" s="7">
        <f t="shared" si="18"/>
        <v>3.5700000000000003E-2</v>
      </c>
      <c r="G158" s="1">
        <f t="shared" si="26"/>
        <v>1.6436793528984754</v>
      </c>
      <c r="H158" s="2"/>
      <c r="I158" s="1">
        <f>VLOOKUP(B158,'fixed cost'!$B$4:$R$116,17,0)</f>
        <v>0</v>
      </c>
      <c r="J158" s="2"/>
      <c r="K158" s="2"/>
      <c r="L158" s="2"/>
      <c r="M158" s="2"/>
      <c r="N158" s="2"/>
      <c r="O158" s="1">
        <f t="shared" si="25"/>
        <v>1.6436793528984754</v>
      </c>
    </row>
    <row r="159" spans="1:15" s="119" customFormat="1" ht="15.75" hidden="1" customHeight="1" x14ac:dyDescent="0.25">
      <c r="A159" s="127">
        <f t="shared" si="19"/>
        <v>134</v>
      </c>
      <c r="B159" s="46" t="s">
        <v>129</v>
      </c>
      <c r="C159" s="67">
        <f t="shared" ref="C159:D160" si="27">C158</f>
        <v>1.585</v>
      </c>
      <c r="D159" s="67">
        <f t="shared" si="27"/>
        <v>0</v>
      </c>
      <c r="E159" s="67">
        <f t="shared" si="23"/>
        <v>1.585</v>
      </c>
      <c r="F159" s="184">
        <f t="shared" si="18"/>
        <v>3.5700000000000003E-2</v>
      </c>
      <c r="G159" s="67">
        <f t="shared" si="26"/>
        <v>1.6436793528984754</v>
      </c>
      <c r="H159" s="66"/>
      <c r="I159" s="67">
        <f>VLOOKUP(B159,'fixed cost'!$B$4:$R$116,17,0)</f>
        <v>0</v>
      </c>
      <c r="J159" s="66"/>
      <c r="K159" s="66"/>
      <c r="L159" s="66"/>
      <c r="M159" s="67">
        <f>VLOOKUP(B159,'fixed cost'!$B$4:$H$104,7,0)</f>
        <v>0.83038164640483936</v>
      </c>
      <c r="N159" s="66"/>
      <c r="O159" s="67">
        <f t="shared" si="25"/>
        <v>2.4740609993033149</v>
      </c>
    </row>
    <row r="160" spans="1:15" s="182" customFormat="1" ht="15.75" hidden="1" customHeight="1" x14ac:dyDescent="0.25">
      <c r="A160" s="127">
        <f t="shared" si="19"/>
        <v>135</v>
      </c>
      <c r="B160" s="59" t="s">
        <v>129</v>
      </c>
      <c r="C160" s="60">
        <f t="shared" si="27"/>
        <v>1.585</v>
      </c>
      <c r="D160" s="60">
        <f t="shared" si="27"/>
        <v>0</v>
      </c>
      <c r="E160" s="60">
        <f t="shared" si="23"/>
        <v>1.585</v>
      </c>
      <c r="F160" s="124">
        <f t="shared" si="18"/>
        <v>3.5700000000000003E-2</v>
      </c>
      <c r="G160" s="60">
        <f t="shared" si="26"/>
        <v>1.6436793528984754</v>
      </c>
      <c r="H160" s="58"/>
      <c r="I160" s="60">
        <f>VLOOKUP(B160,'fixed cost'!$B$4:$R$116,17,0)</f>
        <v>0</v>
      </c>
      <c r="J160" s="58"/>
      <c r="K160" s="58"/>
      <c r="L160" s="58"/>
      <c r="M160" s="125"/>
      <c r="N160" s="58">
        <v>0.5</v>
      </c>
      <c r="O160" s="60">
        <f t="shared" si="25"/>
        <v>2.1436793528984754</v>
      </c>
    </row>
    <row r="161" spans="1:15" s="182" customFormat="1" ht="15.75" hidden="1" customHeight="1" x14ac:dyDescent="0.25">
      <c r="A161" s="127">
        <f>A160+1</f>
        <v>136</v>
      </c>
      <c r="B161" s="147" t="s">
        <v>129</v>
      </c>
      <c r="C161" s="148">
        <f>C160</f>
        <v>1.585</v>
      </c>
      <c r="D161" s="149">
        <f>D160</f>
        <v>0</v>
      </c>
      <c r="E161" s="148">
        <f>E160</f>
        <v>1.585</v>
      </c>
      <c r="F161" s="150">
        <f>F160</f>
        <v>3.5700000000000003E-2</v>
      </c>
      <c r="G161" s="148">
        <f>G160</f>
        <v>1.6436793528984754</v>
      </c>
      <c r="H161" s="146"/>
      <c r="I161" s="148">
        <f>VLOOKUP(B161,'fixed cost'!$B$4:$R$116,17,0)</f>
        <v>0</v>
      </c>
      <c r="J161" s="146"/>
      <c r="K161" s="146"/>
      <c r="L161" s="146"/>
      <c r="M161" s="146"/>
      <c r="N161" s="146">
        <v>0.65</v>
      </c>
      <c r="O161" s="148">
        <f t="shared" si="25"/>
        <v>2.2936793528984754</v>
      </c>
    </row>
    <row r="162" spans="1:15" s="119" customFormat="1" ht="15.75" customHeight="1" x14ac:dyDescent="0.25">
      <c r="A162" s="127">
        <f t="shared" si="19"/>
        <v>137</v>
      </c>
      <c r="B162" s="4" t="s">
        <v>130</v>
      </c>
      <c r="C162">
        <v>1.581</v>
      </c>
      <c r="D162" s="1"/>
      <c r="E162" s="1">
        <f t="shared" si="23"/>
        <v>1.581</v>
      </c>
      <c r="F162" s="7">
        <f>F160</f>
        <v>3.5700000000000003E-2</v>
      </c>
      <c r="G162" s="1">
        <f t="shared" si="26"/>
        <v>1.6395312662034636</v>
      </c>
      <c r="H162" s="2"/>
      <c r="I162" s="1">
        <f>VLOOKUP(B162,'fixed cost'!$B$4:$R$116,17,0)</f>
        <v>0</v>
      </c>
      <c r="J162" s="2"/>
      <c r="K162" s="2"/>
      <c r="L162" s="2"/>
      <c r="M162" s="2"/>
      <c r="N162" s="2"/>
      <c r="O162" s="1">
        <f t="shared" si="25"/>
        <v>1.6395312662034636</v>
      </c>
    </row>
    <row r="163" spans="1:15" s="119" customFormat="1" ht="15.75" hidden="1" customHeight="1" x14ac:dyDescent="0.25">
      <c r="A163" s="127">
        <f t="shared" si="19"/>
        <v>138</v>
      </c>
      <c r="B163" s="46" t="s">
        <v>130</v>
      </c>
      <c r="C163" s="67">
        <f>C162</f>
        <v>1.581</v>
      </c>
      <c r="D163" s="67">
        <f>D162</f>
        <v>0</v>
      </c>
      <c r="E163" s="67">
        <f t="shared" si="23"/>
        <v>1.581</v>
      </c>
      <c r="F163" s="184">
        <f t="shared" ref="F163:F185" si="28">F162</f>
        <v>3.5700000000000003E-2</v>
      </c>
      <c r="G163" s="67">
        <f t="shared" si="26"/>
        <v>1.6395312662034636</v>
      </c>
      <c r="H163" s="66"/>
      <c r="I163" s="67">
        <f>VLOOKUP(B163,'fixed cost'!$B$4:$R$116,17,0)</f>
        <v>0</v>
      </c>
      <c r="J163" s="66"/>
      <c r="K163" s="66"/>
      <c r="L163" s="66"/>
      <c r="M163" s="67">
        <f>VLOOKUP(B163,'fixed cost'!$B$4:$H$104,7,0)</f>
        <v>0.77934853313441221</v>
      </c>
      <c r="N163" s="66"/>
      <c r="O163" s="67">
        <f t="shared" si="25"/>
        <v>2.4188797993378759</v>
      </c>
    </row>
    <row r="164" spans="1:15" s="61" customFormat="1" ht="15.75" hidden="1" customHeight="1" x14ac:dyDescent="0.25">
      <c r="A164" s="127">
        <f t="shared" si="19"/>
        <v>139</v>
      </c>
      <c r="B164" s="59" t="s">
        <v>130</v>
      </c>
      <c r="C164" s="60">
        <f>C162</f>
        <v>1.581</v>
      </c>
      <c r="D164" s="60">
        <f>D163</f>
        <v>0</v>
      </c>
      <c r="E164" s="60">
        <f t="shared" si="23"/>
        <v>1.581</v>
      </c>
      <c r="F164" s="124">
        <f t="shared" si="28"/>
        <v>3.5700000000000003E-2</v>
      </c>
      <c r="G164" s="60">
        <f t="shared" si="26"/>
        <v>1.6395312662034636</v>
      </c>
      <c r="H164" s="58"/>
      <c r="I164" s="60">
        <f>VLOOKUP(B164,'fixed cost'!$B$4:$R$116,17,0)</f>
        <v>0</v>
      </c>
      <c r="J164" s="58"/>
      <c r="K164" s="58"/>
      <c r="L164" s="58"/>
      <c r="M164" s="58"/>
      <c r="N164" s="58">
        <v>0.5</v>
      </c>
      <c r="O164" s="60">
        <f t="shared" si="25"/>
        <v>2.1395312662034636</v>
      </c>
    </row>
    <row r="165" spans="1:15" s="61" customFormat="1" ht="15.75" hidden="1" customHeight="1" x14ac:dyDescent="0.25">
      <c r="A165" s="127">
        <f>A164+1</f>
        <v>140</v>
      </c>
      <c r="B165" s="147" t="s">
        <v>130</v>
      </c>
      <c r="C165" s="148">
        <f>C163</f>
        <v>1.581</v>
      </c>
      <c r="D165" s="148">
        <f>D164</f>
        <v>0</v>
      </c>
      <c r="E165" s="148">
        <f t="shared" si="23"/>
        <v>1.581</v>
      </c>
      <c r="F165" s="150">
        <f>F164</f>
        <v>3.5700000000000003E-2</v>
      </c>
      <c r="G165" s="148">
        <f t="shared" si="26"/>
        <v>1.6395312662034636</v>
      </c>
      <c r="H165" s="146"/>
      <c r="I165" s="148">
        <f>VLOOKUP(B165,'fixed cost'!$B$4:$R$116,17,0)</f>
        <v>0</v>
      </c>
      <c r="J165" s="146"/>
      <c r="K165" s="146"/>
      <c r="L165" s="146"/>
      <c r="M165" s="146"/>
      <c r="N165" s="146">
        <v>0.65</v>
      </c>
      <c r="O165" s="148">
        <f t="shared" si="25"/>
        <v>2.2895312662034635</v>
      </c>
    </row>
    <row r="166" spans="1:15" s="119" customFormat="1" ht="15.75" customHeight="1" x14ac:dyDescent="0.25">
      <c r="A166" s="127">
        <f t="shared" si="19"/>
        <v>141</v>
      </c>
      <c r="B166" s="4" t="s">
        <v>131</v>
      </c>
      <c r="C166">
        <v>1.5609999999999999</v>
      </c>
      <c r="D166" s="1"/>
      <c r="E166" s="1">
        <f t="shared" si="23"/>
        <v>1.5609999999999999</v>
      </c>
      <c r="F166" s="7">
        <f t="shared" si="28"/>
        <v>3.5700000000000003E-2</v>
      </c>
      <c r="G166" s="1">
        <f t="shared" si="26"/>
        <v>1.618790832728404</v>
      </c>
      <c r="H166" s="2"/>
      <c r="I166" s="1">
        <f>VLOOKUP(B166,'fixed cost'!$B$4:$R$116,17,0)</f>
        <v>0</v>
      </c>
      <c r="J166" s="2"/>
      <c r="K166" s="2"/>
      <c r="L166" s="2"/>
      <c r="M166" s="2"/>
      <c r="N166" s="2"/>
      <c r="O166" s="1">
        <f t="shared" si="25"/>
        <v>1.618790832728404</v>
      </c>
    </row>
    <row r="167" spans="1:15" s="119" customFormat="1" ht="15.75" hidden="1" customHeight="1" x14ac:dyDescent="0.25">
      <c r="A167" s="127">
        <f t="shared" ref="A167:A185" si="29">A166+1</f>
        <v>142</v>
      </c>
      <c r="B167" s="46" t="s">
        <v>131</v>
      </c>
      <c r="C167" s="67">
        <f t="shared" ref="C167:D168" si="30">C166</f>
        <v>1.5609999999999999</v>
      </c>
      <c r="D167" s="67">
        <f t="shared" si="30"/>
        <v>0</v>
      </c>
      <c r="E167" s="67">
        <f t="shared" si="23"/>
        <v>1.5609999999999999</v>
      </c>
      <c r="F167" s="184">
        <f t="shared" si="28"/>
        <v>3.5700000000000003E-2</v>
      </c>
      <c r="G167" s="67">
        <f t="shared" si="26"/>
        <v>1.618790832728404</v>
      </c>
      <c r="H167" s="66"/>
      <c r="I167" s="67">
        <f>VLOOKUP(B167,'fixed cost'!$B$4:$R$116,17,0)</f>
        <v>0</v>
      </c>
      <c r="J167" s="66"/>
      <c r="K167" s="66"/>
      <c r="L167" s="66"/>
      <c r="M167" s="67">
        <f>VLOOKUP(B167,'fixed cost'!$B$4:$H$104,7,0)</f>
        <v>1.4694115224666227</v>
      </c>
      <c r="N167" s="66"/>
      <c r="O167" s="67">
        <f t="shared" si="25"/>
        <v>3.0882023551950266</v>
      </c>
    </row>
    <row r="168" spans="1:15" s="182" customFormat="1" ht="15.75" hidden="1" customHeight="1" x14ac:dyDescent="0.25">
      <c r="A168" s="127">
        <f t="shared" si="29"/>
        <v>143</v>
      </c>
      <c r="B168" s="59" t="s">
        <v>131</v>
      </c>
      <c r="C168" s="60">
        <f t="shared" si="30"/>
        <v>1.5609999999999999</v>
      </c>
      <c r="D168" s="60">
        <f t="shared" si="30"/>
        <v>0</v>
      </c>
      <c r="E168" s="60">
        <f t="shared" si="23"/>
        <v>1.5609999999999999</v>
      </c>
      <c r="F168" s="124">
        <f t="shared" si="28"/>
        <v>3.5700000000000003E-2</v>
      </c>
      <c r="G168" s="60">
        <f t="shared" si="26"/>
        <v>1.618790832728404</v>
      </c>
      <c r="H168" s="58"/>
      <c r="I168" s="60">
        <f>VLOOKUP(B168,'fixed cost'!$B$4:$R$116,17,0)</f>
        <v>0</v>
      </c>
      <c r="J168" s="58"/>
      <c r="K168" s="58"/>
      <c r="L168" s="58"/>
      <c r="M168" s="125"/>
      <c r="N168" s="58">
        <v>0.5</v>
      </c>
      <c r="O168" s="60">
        <f t="shared" si="25"/>
        <v>2.1187908327284042</v>
      </c>
    </row>
    <row r="169" spans="1:15" s="182" customFormat="1" ht="15.75" hidden="1" customHeight="1" x14ac:dyDescent="0.25">
      <c r="A169" s="127"/>
      <c r="B169" s="147" t="s">
        <v>131</v>
      </c>
      <c r="C169" s="148">
        <f>C168</f>
        <v>1.5609999999999999</v>
      </c>
      <c r="D169" s="149">
        <f>D168</f>
        <v>0</v>
      </c>
      <c r="E169" s="148">
        <f t="shared" si="23"/>
        <v>1.5609999999999999</v>
      </c>
      <c r="F169" s="150">
        <f>F168</f>
        <v>3.5700000000000003E-2</v>
      </c>
      <c r="G169" s="148">
        <f t="shared" si="26"/>
        <v>1.618790832728404</v>
      </c>
      <c r="H169" s="146"/>
      <c r="I169" s="148">
        <f>VLOOKUP(B169,'fixed cost'!$B$4:$R$116,17,0)</f>
        <v>0</v>
      </c>
      <c r="J169" s="146"/>
      <c r="K169" s="146"/>
      <c r="L169" s="146"/>
      <c r="M169" s="146"/>
      <c r="N169" s="146">
        <v>0.65</v>
      </c>
      <c r="O169" s="148">
        <f t="shared" si="25"/>
        <v>2.2687908327284041</v>
      </c>
    </row>
    <row r="170" spans="1:15" s="119" customFormat="1" ht="15.75" hidden="1" customHeight="1" x14ac:dyDescent="0.25">
      <c r="A170" s="127">
        <f>A168+1</f>
        <v>144</v>
      </c>
      <c r="B170" s="97" t="s">
        <v>144</v>
      </c>
      <c r="C170" s="98">
        <v>2.206</v>
      </c>
      <c r="D170" s="98"/>
      <c r="E170" s="98">
        <f t="shared" si="23"/>
        <v>2.206</v>
      </c>
      <c r="F170" s="172">
        <f t="shared" si="28"/>
        <v>3.5700000000000003E-2</v>
      </c>
      <c r="G170" s="98">
        <f t="shared" si="26"/>
        <v>2.2876698122990771</v>
      </c>
      <c r="H170" s="96"/>
      <c r="I170" s="98">
        <f>VLOOKUP(B170,'fixed cost'!$B$4:$R$116,17,0)</f>
        <v>0</v>
      </c>
      <c r="J170" s="96"/>
      <c r="K170" s="96"/>
      <c r="L170" s="96"/>
      <c r="M170" s="96"/>
      <c r="N170" s="96"/>
      <c r="O170" s="98">
        <f t="shared" si="25"/>
        <v>2.2876698122990771</v>
      </c>
    </row>
    <row r="171" spans="1:15" s="119" customFormat="1" ht="15.75" customHeight="1" x14ac:dyDescent="0.25">
      <c r="A171" s="127">
        <f t="shared" si="29"/>
        <v>145</v>
      </c>
      <c r="B171" s="4" t="s">
        <v>132</v>
      </c>
      <c r="C171">
        <v>1.512</v>
      </c>
      <c r="D171" s="1"/>
      <c r="E171" s="1">
        <f t="shared" si="23"/>
        <v>1.512</v>
      </c>
      <c r="F171" s="7">
        <f t="shared" si="28"/>
        <v>3.5700000000000003E-2</v>
      </c>
      <c r="G171" s="1">
        <f t="shared" si="26"/>
        <v>1.5679767707145078</v>
      </c>
      <c r="H171" s="2"/>
      <c r="I171" s="1">
        <f>VLOOKUP(B171,'fixed cost'!$B$4:$R$116,17,0)</f>
        <v>0</v>
      </c>
      <c r="J171" s="2"/>
      <c r="K171" s="2"/>
      <c r="L171" s="2"/>
      <c r="M171" s="2"/>
      <c r="N171" s="2"/>
      <c r="O171" s="1">
        <f t="shared" si="25"/>
        <v>1.5679767707145078</v>
      </c>
    </row>
    <row r="172" spans="1:15" s="119" customFormat="1" ht="15.75" hidden="1" customHeight="1" x14ac:dyDescent="0.25">
      <c r="A172" s="127">
        <f t="shared" si="29"/>
        <v>146</v>
      </c>
      <c r="B172" s="46" t="s">
        <v>132</v>
      </c>
      <c r="C172" s="67">
        <f>C171</f>
        <v>1.512</v>
      </c>
      <c r="D172" s="67">
        <f>D171</f>
        <v>0</v>
      </c>
      <c r="E172" s="67">
        <f t="shared" si="23"/>
        <v>1.512</v>
      </c>
      <c r="F172" s="184">
        <f t="shared" si="28"/>
        <v>3.5700000000000003E-2</v>
      </c>
      <c r="G172" s="67">
        <f t="shared" si="26"/>
        <v>1.5679767707145078</v>
      </c>
      <c r="H172" s="66"/>
      <c r="I172" s="67">
        <f>VLOOKUP(B172,'fixed cost'!$B$4:$R$116,17,0)</f>
        <v>0</v>
      </c>
      <c r="J172" s="66"/>
      <c r="K172" s="66"/>
      <c r="L172" s="66"/>
      <c r="M172" s="67">
        <f>VLOOKUP(B172,'fixed cost'!$B$4:$H$104,7,0)</f>
        <v>0.76384627104384095</v>
      </c>
      <c r="N172" s="66"/>
      <c r="O172" s="67">
        <f t="shared" si="25"/>
        <v>2.3318230417583488</v>
      </c>
    </row>
    <row r="173" spans="1:15" s="65" customFormat="1" ht="15.75" hidden="1" customHeight="1" x14ac:dyDescent="0.25">
      <c r="A173" s="127">
        <f t="shared" si="29"/>
        <v>147</v>
      </c>
      <c r="B173" s="63" t="s">
        <v>151</v>
      </c>
      <c r="C173" s="64">
        <v>5.04</v>
      </c>
      <c r="D173" s="64"/>
      <c r="E173" s="64">
        <f t="shared" si="23"/>
        <v>5.04</v>
      </c>
      <c r="F173" s="178">
        <f t="shared" si="28"/>
        <v>3.5700000000000003E-2</v>
      </c>
      <c r="G173" s="64">
        <f t="shared" si="26"/>
        <v>5.2265892357150259</v>
      </c>
      <c r="H173" s="62"/>
      <c r="I173" s="64">
        <f>VLOOKUP(B173,'fixed cost'!$B$4:$R$116,17,0)</f>
        <v>0</v>
      </c>
      <c r="J173" s="62"/>
      <c r="K173" s="62"/>
      <c r="L173" s="62"/>
      <c r="M173" s="62"/>
      <c r="N173" s="62"/>
      <c r="O173" s="64">
        <f t="shared" si="25"/>
        <v>5.2265892357150259</v>
      </c>
    </row>
    <row r="174" spans="1:15" s="119" customFormat="1" ht="15.75" customHeight="1" x14ac:dyDescent="0.25">
      <c r="A174" s="127">
        <f t="shared" si="29"/>
        <v>148</v>
      </c>
      <c r="B174" s="4" t="s">
        <v>245</v>
      </c>
      <c r="C174">
        <v>3.444</v>
      </c>
      <c r="D174" s="1"/>
      <c r="E174" s="1">
        <f t="shared" si="23"/>
        <v>3.444</v>
      </c>
      <c r="F174" s="7">
        <f t="shared" si="28"/>
        <v>3.5700000000000003E-2</v>
      </c>
      <c r="G174" s="1">
        <f t="shared" si="26"/>
        <v>3.571502644405268</v>
      </c>
      <c r="H174" s="2"/>
      <c r="I174" s="1">
        <f>VLOOKUP(B174,'fixed cost'!$B$4:$R$116,17,0)</f>
        <v>0</v>
      </c>
      <c r="J174" s="1"/>
      <c r="K174" s="1">
        <v>0.2465</v>
      </c>
      <c r="L174" s="2"/>
      <c r="M174" s="2"/>
      <c r="N174" s="2"/>
      <c r="O174" s="1">
        <f t="shared" si="25"/>
        <v>3.8180026444052682</v>
      </c>
    </row>
    <row r="175" spans="1:15" s="119" customFormat="1" ht="15.75" hidden="1" customHeight="1" x14ac:dyDescent="0.25">
      <c r="A175" s="127">
        <f t="shared" si="29"/>
        <v>149</v>
      </c>
      <c r="B175" s="46" t="s">
        <v>245</v>
      </c>
      <c r="C175" s="67">
        <f>C174</f>
        <v>3.444</v>
      </c>
      <c r="D175" s="67">
        <f>D174</f>
        <v>0</v>
      </c>
      <c r="E175" s="67">
        <f t="shared" si="23"/>
        <v>3.444</v>
      </c>
      <c r="F175" s="184">
        <f t="shared" si="28"/>
        <v>3.5700000000000003E-2</v>
      </c>
      <c r="G175" s="67">
        <f t="shared" si="26"/>
        <v>3.571502644405268</v>
      </c>
      <c r="H175" s="66"/>
      <c r="I175" s="67">
        <f>VLOOKUP(B175,'fixed cost'!$B$4:$R$116,17,0)</f>
        <v>0</v>
      </c>
      <c r="J175" s="67"/>
      <c r="K175" s="67">
        <f>K174</f>
        <v>0.2465</v>
      </c>
      <c r="L175" s="66"/>
      <c r="M175" s="67">
        <f>VLOOKUP(B175,'fixed cost'!$B$4:$H$104,7,0)</f>
        <v>1.7669774010626034</v>
      </c>
      <c r="N175" s="66"/>
      <c r="O175" s="67">
        <f t="shared" si="25"/>
        <v>5.5849800454678711</v>
      </c>
    </row>
    <row r="176" spans="1:15" s="119" customFormat="1" ht="15.75" hidden="1" customHeight="1" x14ac:dyDescent="0.25">
      <c r="A176" s="127">
        <f t="shared" si="29"/>
        <v>150</v>
      </c>
      <c r="B176" s="97" t="s">
        <v>139</v>
      </c>
      <c r="C176" s="98">
        <v>2.1150000000000002</v>
      </c>
      <c r="D176" s="98"/>
      <c r="E176" s="98">
        <f t="shared" si="23"/>
        <v>2.1150000000000002</v>
      </c>
      <c r="F176" s="172">
        <f t="shared" si="28"/>
        <v>3.5700000000000003E-2</v>
      </c>
      <c r="G176" s="98">
        <f t="shared" si="26"/>
        <v>2.1933008399875558</v>
      </c>
      <c r="H176" s="96"/>
      <c r="I176" s="98">
        <f>VLOOKUP(B176,'fixed cost'!$B$4:$R$116,17,0)</f>
        <v>0</v>
      </c>
      <c r="J176" s="96"/>
      <c r="K176" s="96"/>
      <c r="L176" s="96"/>
      <c r="M176" s="96"/>
      <c r="N176" s="96"/>
      <c r="O176" s="98">
        <f t="shared" si="25"/>
        <v>2.1933008399875558</v>
      </c>
    </row>
    <row r="177" spans="1:15" s="119" customFormat="1" ht="15.75" customHeight="1" x14ac:dyDescent="0.25">
      <c r="A177" s="127">
        <f t="shared" si="29"/>
        <v>151</v>
      </c>
      <c r="B177" s="4" t="s">
        <v>134</v>
      </c>
      <c r="C177">
        <v>4.2110000000000003</v>
      </c>
      <c r="D177" s="1"/>
      <c r="E177" s="1">
        <f t="shared" ref="E177:E185" si="31">C177+D177</f>
        <v>4.2110000000000003</v>
      </c>
      <c r="F177" s="7">
        <f t="shared" si="28"/>
        <v>3.5700000000000003E-2</v>
      </c>
      <c r="G177" s="1">
        <f t="shared" si="26"/>
        <v>4.3668982681738049</v>
      </c>
      <c r="H177" s="2"/>
      <c r="I177" s="1">
        <f>VLOOKUP(B177,'fixed cost'!$B$4:$R$116,17,0)</f>
        <v>0</v>
      </c>
      <c r="J177" s="2"/>
      <c r="K177" s="2"/>
      <c r="L177" s="2"/>
      <c r="M177" s="2"/>
      <c r="N177" s="2"/>
      <c r="O177" s="1">
        <f t="shared" si="25"/>
        <v>4.3668982681738049</v>
      </c>
    </row>
    <row r="178" spans="1:15" s="119" customFormat="1" ht="15.75" hidden="1" customHeight="1" x14ac:dyDescent="0.25">
      <c r="A178" s="127">
        <f t="shared" si="29"/>
        <v>152</v>
      </c>
      <c r="B178" s="46" t="s">
        <v>134</v>
      </c>
      <c r="C178" s="67">
        <f>C177</f>
        <v>4.2110000000000003</v>
      </c>
      <c r="D178" s="67">
        <f>D177</f>
        <v>0</v>
      </c>
      <c r="E178" s="67">
        <f t="shared" si="31"/>
        <v>4.2110000000000003</v>
      </c>
      <c r="F178" s="184">
        <f t="shared" si="28"/>
        <v>3.5700000000000003E-2</v>
      </c>
      <c r="G178" s="67">
        <f t="shared" si="26"/>
        <v>4.3668982681738049</v>
      </c>
      <c r="H178" s="66"/>
      <c r="I178" s="67">
        <f>VLOOKUP(B178,'fixed cost'!$B$4:$R$116,17,0)</f>
        <v>0</v>
      </c>
      <c r="J178" s="66"/>
      <c r="K178" s="66"/>
      <c r="L178" s="66"/>
      <c r="M178" s="67">
        <f>VLOOKUP(B178,'fixed cost'!$B$4:$H$104,7,0)</f>
        <v>1.0459097583536401</v>
      </c>
      <c r="N178" s="66"/>
      <c r="O178" s="67">
        <f t="shared" si="25"/>
        <v>5.4128080265274452</v>
      </c>
    </row>
    <row r="179" spans="1:15" s="119" customFormat="1" ht="15.75" customHeight="1" x14ac:dyDescent="0.25">
      <c r="A179" s="127">
        <f t="shared" si="29"/>
        <v>153</v>
      </c>
      <c r="B179" s="4" t="s">
        <v>135</v>
      </c>
      <c r="C179">
        <v>3.7160000000000002</v>
      </c>
      <c r="D179" s="1"/>
      <c r="E179" s="1">
        <f t="shared" si="31"/>
        <v>3.7160000000000002</v>
      </c>
      <c r="F179" s="7">
        <f t="shared" si="28"/>
        <v>3.5700000000000003E-2</v>
      </c>
      <c r="G179" s="1">
        <f t="shared" si="26"/>
        <v>3.8535725396660792</v>
      </c>
      <c r="H179" s="2"/>
      <c r="I179" s="1">
        <f>VLOOKUP(B179,'fixed cost'!$B$4:$R$116,17,0)</f>
        <v>0</v>
      </c>
      <c r="J179" s="2"/>
      <c r="K179" s="2"/>
      <c r="L179" s="2"/>
      <c r="M179" s="2"/>
      <c r="N179" s="2"/>
      <c r="O179" s="1">
        <f t="shared" si="25"/>
        <v>3.8535725396660792</v>
      </c>
    </row>
    <row r="180" spans="1:15" s="119" customFormat="1" ht="15.75" hidden="1" customHeight="1" x14ac:dyDescent="0.25">
      <c r="A180" s="127">
        <f t="shared" si="29"/>
        <v>154</v>
      </c>
      <c r="B180" s="46" t="s">
        <v>135</v>
      </c>
      <c r="C180" s="67">
        <f>C179</f>
        <v>3.7160000000000002</v>
      </c>
      <c r="D180" s="67">
        <f>D179</f>
        <v>0</v>
      </c>
      <c r="E180" s="67">
        <f t="shared" si="31"/>
        <v>3.7160000000000002</v>
      </c>
      <c r="F180" s="184">
        <f t="shared" si="28"/>
        <v>3.5700000000000003E-2</v>
      </c>
      <c r="G180" s="67">
        <f t="shared" si="26"/>
        <v>3.8535725396660792</v>
      </c>
      <c r="H180" s="66"/>
      <c r="I180" s="67">
        <f>VLOOKUP(B180,'fixed cost'!$B$4:$R$116,17,0)</f>
        <v>0</v>
      </c>
      <c r="J180" s="66"/>
      <c r="K180" s="66"/>
      <c r="L180" s="66"/>
      <c r="M180" s="67">
        <f>VLOOKUP(B180,'fixed cost'!$B$4:$H$104,7,0)</f>
        <v>1.1206832154238848</v>
      </c>
      <c r="N180" s="66"/>
      <c r="O180" s="67">
        <f t="shared" si="25"/>
        <v>4.9742557550899642</v>
      </c>
    </row>
    <row r="181" spans="1:15" s="119" customFormat="1" ht="15.75" customHeight="1" x14ac:dyDescent="0.25">
      <c r="A181" s="127">
        <f t="shared" si="29"/>
        <v>155</v>
      </c>
      <c r="B181" s="4" t="s">
        <v>133</v>
      </c>
      <c r="C181">
        <v>4.16</v>
      </c>
      <c r="D181" s="1"/>
      <c r="E181" s="1">
        <f t="shared" si="31"/>
        <v>4.16</v>
      </c>
      <c r="F181" s="7">
        <f t="shared" si="28"/>
        <v>3.5700000000000003E-2</v>
      </c>
      <c r="G181" s="1">
        <f t="shared" si="26"/>
        <v>4.3140101628124023</v>
      </c>
      <c r="H181" s="2"/>
      <c r="I181" s="1">
        <f>VLOOKUP(B181,'fixed cost'!$B$4:$R$116,17,0)</f>
        <v>0</v>
      </c>
      <c r="J181" s="2"/>
      <c r="K181" s="2"/>
      <c r="L181" s="2"/>
      <c r="M181" s="2"/>
      <c r="N181" s="2"/>
      <c r="O181" s="1">
        <f t="shared" si="25"/>
        <v>4.3140101628124023</v>
      </c>
    </row>
    <row r="182" spans="1:15" s="119" customFormat="1" ht="15.75" hidden="1" customHeight="1" x14ac:dyDescent="0.25">
      <c r="A182" s="127">
        <f t="shared" si="29"/>
        <v>156</v>
      </c>
      <c r="B182" s="46" t="s">
        <v>133</v>
      </c>
      <c r="C182" s="67">
        <f>C181</f>
        <v>4.16</v>
      </c>
      <c r="D182" s="67">
        <f>D181</f>
        <v>0</v>
      </c>
      <c r="E182" s="67">
        <f t="shared" si="31"/>
        <v>4.16</v>
      </c>
      <c r="F182" s="184">
        <f t="shared" si="28"/>
        <v>3.5700000000000003E-2</v>
      </c>
      <c r="G182" s="67">
        <f t="shared" si="26"/>
        <v>4.3140101628124023</v>
      </c>
      <c r="H182" s="66"/>
      <c r="I182" s="67">
        <f>VLOOKUP(B182,'fixed cost'!$B$4:$R$116,17,0)</f>
        <v>0</v>
      </c>
      <c r="J182" s="66"/>
      <c r="K182" s="66"/>
      <c r="L182" s="66"/>
      <c r="M182" s="67">
        <f>VLOOKUP(B182,'fixed cost'!$B$4:$H$104,7,0)</f>
        <v>1.2090519383025429</v>
      </c>
      <c r="N182" s="66"/>
      <c r="O182" s="67">
        <f t="shared" si="25"/>
        <v>5.5230621011149452</v>
      </c>
    </row>
    <row r="183" spans="1:15" ht="15.75" customHeight="1" x14ac:dyDescent="0.25">
      <c r="A183" s="127">
        <f t="shared" si="29"/>
        <v>157</v>
      </c>
      <c r="B183" s="4" t="s">
        <v>153</v>
      </c>
      <c r="C183">
        <v>3.9910000000000001</v>
      </c>
      <c r="D183" s="1"/>
      <c r="E183" s="1">
        <f t="shared" si="31"/>
        <v>3.9910000000000001</v>
      </c>
      <c r="F183" s="7">
        <f t="shared" si="28"/>
        <v>3.5700000000000003E-2</v>
      </c>
      <c r="G183" s="1">
        <f t="shared" si="26"/>
        <v>4.138753499948149</v>
      </c>
      <c r="H183" s="2"/>
      <c r="I183" s="1">
        <f>VLOOKUP(B183,'fixed cost'!$B$4:$R$116,17,0)</f>
        <v>0</v>
      </c>
      <c r="J183" s="2"/>
      <c r="K183" s="2"/>
      <c r="L183" s="2"/>
      <c r="M183" s="2"/>
      <c r="N183" s="2"/>
      <c r="O183" s="1">
        <f t="shared" si="25"/>
        <v>4.138753499948149</v>
      </c>
    </row>
    <row r="184" spans="1:15" s="27" customFormat="1" ht="15.75" hidden="1" customHeight="1" x14ac:dyDescent="0.25">
      <c r="A184" s="127">
        <f t="shared" si="29"/>
        <v>158</v>
      </c>
      <c r="B184" s="46" t="s">
        <v>153</v>
      </c>
      <c r="C184" s="67">
        <f>C183</f>
        <v>3.9910000000000001</v>
      </c>
      <c r="D184" s="67">
        <f>D183</f>
        <v>0</v>
      </c>
      <c r="E184" s="67">
        <f t="shared" si="31"/>
        <v>3.9910000000000001</v>
      </c>
      <c r="F184" s="184">
        <f t="shared" si="28"/>
        <v>3.5700000000000003E-2</v>
      </c>
      <c r="G184" s="67">
        <f t="shared" si="26"/>
        <v>4.138753499948149</v>
      </c>
      <c r="H184" s="66"/>
      <c r="I184" s="67">
        <f>VLOOKUP(B184,'fixed cost'!$B$4:$R$116,17,0)</f>
        <v>0</v>
      </c>
      <c r="J184" s="66"/>
      <c r="K184" s="66"/>
      <c r="L184" s="66"/>
      <c r="M184" s="67">
        <f>VLOOKUP(B184,'fixed cost'!$B$4:$H$104,7,0)</f>
        <v>1.6577600990616079</v>
      </c>
      <c r="N184" s="66"/>
      <c r="O184" s="67">
        <f t="shared" si="25"/>
        <v>5.7965135990097565</v>
      </c>
    </row>
    <row r="185" spans="1:15" s="119" customFormat="1" ht="15.75" hidden="1" customHeight="1" x14ac:dyDescent="0.25">
      <c r="A185" s="127">
        <f t="shared" si="29"/>
        <v>159</v>
      </c>
      <c r="B185" s="97" t="s">
        <v>145</v>
      </c>
      <c r="C185" s="98">
        <v>2.1320000000000001</v>
      </c>
      <c r="D185" s="98"/>
      <c r="E185" s="98">
        <f t="shared" si="31"/>
        <v>2.1320000000000001</v>
      </c>
      <c r="F185" s="172">
        <f t="shared" si="28"/>
        <v>3.5700000000000003E-2</v>
      </c>
      <c r="G185" s="98">
        <f t="shared" si="26"/>
        <v>2.2109302084413565</v>
      </c>
      <c r="H185" s="96"/>
      <c r="I185" s="98">
        <f>VLOOKUP(B185,'fixed cost'!$B$4:$R$116,17,0)</f>
        <v>0</v>
      </c>
      <c r="J185" s="96"/>
      <c r="K185" s="96"/>
      <c r="L185" s="96"/>
      <c r="M185" s="96"/>
      <c r="N185" s="96"/>
      <c r="O185" s="98">
        <f t="shared" si="25"/>
        <v>2.2109302084413565</v>
      </c>
    </row>
  </sheetData>
  <autoFilter ref="A4:O185">
    <filterColumn colId="1">
      <colorFilter dxfId="0"/>
    </filterColumn>
  </autoFilter>
  <mergeCells count="15">
    <mergeCell ref="A1:O1"/>
    <mergeCell ref="B2:B4"/>
    <mergeCell ref="C2:C4"/>
    <mergeCell ref="D2:D4"/>
    <mergeCell ref="E2:E4"/>
    <mergeCell ref="F2:F4"/>
    <mergeCell ref="G2:G3"/>
    <mergeCell ref="H2:H4"/>
    <mergeCell ref="I2:I4"/>
    <mergeCell ref="J2:J4"/>
    <mergeCell ref="K2:K4"/>
    <mergeCell ref="L2:L4"/>
    <mergeCell ref="M2:M4"/>
    <mergeCell ref="N2:N4"/>
    <mergeCell ref="O2:O4"/>
  </mergeCells>
  <printOptions horizontalCentered="1"/>
  <pageMargins left="0.14000000000000001" right="9.8425196850393706E-2" top="0.11811023622047245" bottom="0.15748031496062992" header="0" footer="0"/>
  <pageSetup paperSize="9" scale="87"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Y1048560"/>
  <sheetViews>
    <sheetView view="pageBreakPreview" topLeftCell="A31" zoomScaleSheetLayoutView="100" workbookViewId="0">
      <selection activeCell="N35" sqref="N35"/>
    </sheetView>
  </sheetViews>
  <sheetFormatPr defaultColWidth="8.85546875" defaultRowHeight="12.75" x14ac:dyDescent="0.25"/>
  <cols>
    <col min="1" max="1" width="4.85546875" style="170" customWidth="1"/>
    <col min="2" max="2" width="27.140625" style="177" customWidth="1"/>
    <col min="3" max="3" width="10.85546875" style="170" customWidth="1"/>
    <col min="4" max="4" width="7.85546875" style="157" customWidth="1"/>
    <col min="5" max="5" width="9.28515625" style="170" customWidth="1"/>
    <col min="6" max="6" width="9.85546875" style="157" customWidth="1"/>
    <col min="7" max="7" width="10" style="157" customWidth="1"/>
    <col min="8" max="9" width="8.5703125" style="157" customWidth="1"/>
    <col min="10" max="10" width="10" style="170" customWidth="1"/>
    <col min="11" max="11" width="9.42578125" style="170" customWidth="1"/>
    <col min="12" max="12" width="10.85546875" style="157" customWidth="1"/>
    <col min="13" max="13" width="8.7109375" style="157" customWidth="1"/>
    <col min="14" max="14" width="10.28515625" style="157" customWidth="1"/>
    <col min="15" max="23" width="0" style="157" hidden="1" customWidth="1"/>
    <col min="24" max="16384" width="8.85546875" style="157"/>
  </cols>
  <sheetData>
    <row r="1" spans="1:25" ht="19.899999999999999" customHeight="1" x14ac:dyDescent="0.25">
      <c r="A1" s="257" t="s">
        <v>276</v>
      </c>
      <c r="B1" s="257"/>
      <c r="C1" s="257"/>
      <c r="D1" s="257"/>
      <c r="E1" s="257"/>
      <c r="F1" s="257"/>
      <c r="G1" s="257"/>
      <c r="H1" s="257"/>
      <c r="I1" s="257"/>
      <c r="J1" s="257"/>
      <c r="K1" s="257"/>
      <c r="L1" s="257"/>
      <c r="M1" s="257"/>
      <c r="N1" s="257"/>
    </row>
    <row r="2" spans="1:25" ht="19.899999999999999" customHeight="1" x14ac:dyDescent="0.25">
      <c r="A2" s="248" t="s">
        <v>0</v>
      </c>
      <c r="B2" s="249" t="s">
        <v>1</v>
      </c>
      <c r="C2" s="248" t="s">
        <v>99</v>
      </c>
      <c r="D2" s="249" t="s">
        <v>108</v>
      </c>
      <c r="E2" s="249" t="s">
        <v>109</v>
      </c>
      <c r="F2" s="252" t="s">
        <v>193</v>
      </c>
      <c r="G2" s="249" t="s">
        <v>191</v>
      </c>
      <c r="H2" s="249" t="s">
        <v>55</v>
      </c>
      <c r="I2" s="249" t="s">
        <v>234</v>
      </c>
      <c r="J2" s="249" t="s">
        <v>3</v>
      </c>
      <c r="K2" s="249" t="s">
        <v>244</v>
      </c>
      <c r="L2" s="249" t="s">
        <v>97</v>
      </c>
      <c r="M2" s="249" t="s">
        <v>100</v>
      </c>
      <c r="N2" s="249" t="s">
        <v>52</v>
      </c>
    </row>
    <row r="3" spans="1:25" ht="19.899999999999999" customHeight="1" x14ac:dyDescent="0.25">
      <c r="A3" s="248"/>
      <c r="B3" s="250"/>
      <c r="C3" s="248"/>
      <c r="D3" s="250"/>
      <c r="E3" s="250"/>
      <c r="F3" s="253"/>
      <c r="G3" s="251"/>
      <c r="H3" s="250"/>
      <c r="I3" s="250"/>
      <c r="J3" s="250"/>
      <c r="K3" s="250"/>
      <c r="L3" s="250"/>
      <c r="M3" s="250"/>
      <c r="N3" s="250"/>
    </row>
    <row r="4" spans="1:25" ht="29.25" customHeight="1" x14ac:dyDescent="0.25">
      <c r="A4" s="248"/>
      <c r="B4" s="251"/>
      <c r="C4" s="248"/>
      <c r="D4" s="251"/>
      <c r="E4" s="251"/>
      <c r="F4" s="254"/>
      <c r="G4" s="158" t="s">
        <v>4</v>
      </c>
      <c r="H4" s="251"/>
      <c r="I4" s="251"/>
      <c r="J4" s="251"/>
      <c r="K4" s="251"/>
      <c r="L4" s="251"/>
      <c r="M4" s="251"/>
      <c r="N4" s="251"/>
    </row>
    <row r="5" spans="1:25" ht="30" customHeight="1" x14ac:dyDescent="0.25">
      <c r="A5" s="193" t="s">
        <v>5</v>
      </c>
      <c r="B5" s="193" t="s">
        <v>6</v>
      </c>
      <c r="C5" s="193" t="s">
        <v>7</v>
      </c>
      <c r="D5" s="193" t="s">
        <v>8</v>
      </c>
      <c r="E5" s="193" t="s">
        <v>9</v>
      </c>
      <c r="F5" s="193" t="s">
        <v>10</v>
      </c>
      <c r="G5" s="193" t="s">
        <v>192</v>
      </c>
      <c r="H5" s="193" t="s">
        <v>189</v>
      </c>
      <c r="I5" s="193" t="s">
        <v>11</v>
      </c>
      <c r="J5" s="193" t="s">
        <v>12</v>
      </c>
      <c r="K5" s="193" t="s">
        <v>13</v>
      </c>
      <c r="L5" s="193" t="s">
        <v>14</v>
      </c>
      <c r="M5" s="193" t="s">
        <v>96</v>
      </c>
      <c r="N5" s="193" t="s">
        <v>237</v>
      </c>
    </row>
    <row r="6" spans="1:25" ht="15" customHeight="1" x14ac:dyDescent="0.25">
      <c r="A6" s="159">
        <v>1</v>
      </c>
      <c r="B6" s="4" t="s">
        <v>24</v>
      </c>
      <c r="C6" s="1">
        <v>2.0139999999999998</v>
      </c>
      <c r="D6" s="15">
        <v>2E-3</v>
      </c>
      <c r="E6" s="1">
        <f>C6+D6</f>
        <v>2.0159999999999996</v>
      </c>
      <c r="F6" s="7"/>
      <c r="G6" s="160">
        <f t="shared" ref="G6:G37" si="0">E6/((100%-F6))</f>
        <v>2.0159999999999996</v>
      </c>
      <c r="H6" s="2"/>
      <c r="I6" s="1">
        <v>0</v>
      </c>
      <c r="J6" s="2"/>
      <c r="K6" s="2"/>
      <c r="L6" s="2"/>
      <c r="M6" s="159"/>
      <c r="N6" s="160">
        <f t="shared" ref="N6:N37" si="1">SUM(G6:M6)</f>
        <v>2.0159999999999996</v>
      </c>
      <c r="O6" s="157">
        <v>3.8489999999999998</v>
      </c>
      <c r="P6" s="161">
        <f t="shared" ref="P6:P51" si="2">N6-O6</f>
        <v>-1.8330000000000002</v>
      </c>
      <c r="Q6" s="161">
        <f t="shared" ref="Q6:Q45" si="3">N6-N7</f>
        <v>-2.3190100000000009</v>
      </c>
      <c r="R6" s="161">
        <f t="shared" ref="R6:R45" si="4">N6-N7</f>
        <v>-2.3190100000000009</v>
      </c>
      <c r="S6" s="161">
        <f t="shared" ref="S6:S45" si="5">N6-N7</f>
        <v>-2.3190100000000009</v>
      </c>
      <c r="T6" s="157">
        <v>3.9139999999999997</v>
      </c>
      <c r="U6" s="161">
        <f t="shared" ref="U6:U51" si="6">N6-T6</f>
        <v>-1.8980000000000001</v>
      </c>
      <c r="V6" s="157">
        <v>1.657</v>
      </c>
      <c r="W6" s="161">
        <f>N6-V6</f>
        <v>0.35899999999999954</v>
      </c>
      <c r="X6" s="157">
        <v>2.0159999999999996</v>
      </c>
      <c r="Y6" s="161">
        <f>N6-X6</f>
        <v>0</v>
      </c>
    </row>
    <row r="7" spans="1:25" ht="15" customHeight="1" x14ac:dyDescent="0.25">
      <c r="A7" s="159">
        <f t="shared" ref="A7:A54" si="7">+A6+1</f>
        <v>2</v>
      </c>
      <c r="B7" s="4" t="s">
        <v>279</v>
      </c>
      <c r="C7" s="1">
        <v>4.1050000000000004</v>
      </c>
      <c r="D7" s="1"/>
      <c r="E7" s="1">
        <f t="shared" ref="E7:E54" si="8">C7+D7</f>
        <v>4.1050000000000004</v>
      </c>
      <c r="F7" s="7"/>
      <c r="G7" s="160">
        <f t="shared" si="0"/>
        <v>4.1050000000000004</v>
      </c>
      <c r="H7" s="5">
        <v>0.15</v>
      </c>
      <c r="I7" s="1">
        <v>8.0009999999999998E-2</v>
      </c>
      <c r="J7" s="2"/>
      <c r="K7" s="2"/>
      <c r="L7" s="2"/>
      <c r="M7" s="159"/>
      <c r="N7" s="160">
        <f t="shared" si="1"/>
        <v>4.3350100000000005</v>
      </c>
      <c r="O7" s="157">
        <v>3.4154740152402727</v>
      </c>
      <c r="P7" s="161">
        <f t="shared" si="2"/>
        <v>0.91953598475972775</v>
      </c>
      <c r="Q7" s="161" t="e">
        <f>N7-#REF!</f>
        <v>#REF!</v>
      </c>
      <c r="R7" s="161" t="e">
        <f>N7-#REF!</f>
        <v>#REF!</v>
      </c>
      <c r="S7" s="161" t="e">
        <f>N7-#REF!</f>
        <v>#REF!</v>
      </c>
      <c r="T7" s="157">
        <v>3.8489999999999998</v>
      </c>
      <c r="U7" s="161">
        <f t="shared" si="6"/>
        <v>0.48601000000000072</v>
      </c>
      <c r="V7" s="157">
        <v>4.2190099999999999</v>
      </c>
      <c r="W7" s="161">
        <f t="shared" ref="W7:W51" si="9">N7-V7</f>
        <v>0.11600000000000055</v>
      </c>
      <c r="X7" s="157">
        <v>4.3350100000000005</v>
      </c>
      <c r="Y7" s="161">
        <f t="shared" ref="Y7:Y53" si="10">N7-X7</f>
        <v>0</v>
      </c>
    </row>
    <row r="8" spans="1:25" ht="15" customHeight="1" x14ac:dyDescent="0.25">
      <c r="A8" s="159">
        <f t="shared" si="7"/>
        <v>3</v>
      </c>
      <c r="B8" s="4" t="s">
        <v>188</v>
      </c>
      <c r="C8" s="1">
        <v>3.5819999999999999</v>
      </c>
      <c r="D8" s="1"/>
      <c r="E8" s="1">
        <f t="shared" si="8"/>
        <v>3.5819999999999999</v>
      </c>
      <c r="F8" s="7">
        <v>3.5700000000000003E-2</v>
      </c>
      <c r="G8" s="160">
        <f t="shared" si="0"/>
        <v>3.7146116353831791</v>
      </c>
      <c r="H8" s="5"/>
      <c r="I8" s="1">
        <v>0</v>
      </c>
      <c r="J8" s="2"/>
      <c r="K8" s="2">
        <v>0</v>
      </c>
      <c r="L8" s="2"/>
      <c r="M8" s="2"/>
      <c r="N8" s="160">
        <f t="shared" si="1"/>
        <v>3.7146116353831791</v>
      </c>
      <c r="O8" s="157">
        <v>2.9165640638579711</v>
      </c>
      <c r="P8" s="161">
        <f t="shared" si="2"/>
        <v>0.798047571525208</v>
      </c>
      <c r="Q8" s="161">
        <f t="shared" si="3"/>
        <v>0.790578658093954</v>
      </c>
      <c r="R8" s="161">
        <f t="shared" si="4"/>
        <v>0.790578658093954</v>
      </c>
      <c r="S8" s="161">
        <f t="shared" si="5"/>
        <v>0.790578658093954</v>
      </c>
      <c r="T8" s="157">
        <v>2.8281883380106021</v>
      </c>
      <c r="U8" s="161">
        <f t="shared" si="6"/>
        <v>0.88642329737257697</v>
      </c>
      <c r="V8" s="157">
        <v>4.09701</v>
      </c>
      <c r="W8" s="161">
        <f t="shared" si="9"/>
        <v>-0.38239836461682097</v>
      </c>
      <c r="X8" s="157">
        <v>3.7146116353831791</v>
      </c>
      <c r="Y8" s="161">
        <f t="shared" si="10"/>
        <v>0</v>
      </c>
    </row>
    <row r="9" spans="1:25" ht="17.25" customHeight="1" x14ac:dyDescent="0.25">
      <c r="A9" s="159">
        <f t="shared" si="7"/>
        <v>4</v>
      </c>
      <c r="B9" s="4" t="s">
        <v>282</v>
      </c>
      <c r="C9" s="1">
        <v>2.6749999999999998</v>
      </c>
      <c r="D9" s="1"/>
      <c r="E9" s="1">
        <f t="shared" si="8"/>
        <v>2.6749999999999998</v>
      </c>
      <c r="F9" s="7">
        <v>3.5700000000000003E-2</v>
      </c>
      <c r="G9" s="160">
        <f t="shared" si="0"/>
        <v>2.7740329772892252</v>
      </c>
      <c r="H9" s="2">
        <v>0.15</v>
      </c>
      <c r="I9" s="1">
        <v>0</v>
      </c>
      <c r="J9" s="5"/>
      <c r="K9" s="1"/>
      <c r="L9" s="1"/>
      <c r="M9" s="159"/>
      <c r="N9" s="160">
        <f t="shared" si="1"/>
        <v>2.9240329772892251</v>
      </c>
      <c r="O9" s="157">
        <v>2.8726060355558705</v>
      </c>
      <c r="P9" s="161">
        <f t="shared" si="2"/>
        <v>5.1426941733354603E-2</v>
      </c>
      <c r="Q9" s="161">
        <f t="shared" si="3"/>
        <v>-1.2538758814684225</v>
      </c>
      <c r="R9" s="161">
        <f t="shared" si="4"/>
        <v>-1.2538758814684225</v>
      </c>
      <c r="S9" s="161">
        <f t="shared" si="5"/>
        <v>-1.2538758814684225</v>
      </c>
      <c r="T9" s="157">
        <v>1.9803710632990332</v>
      </c>
      <c r="U9" s="161">
        <f t="shared" si="6"/>
        <v>0.94366191399019184</v>
      </c>
      <c r="V9" s="157">
        <v>4.4699081242902858</v>
      </c>
      <c r="W9" s="161">
        <f t="shared" si="9"/>
        <v>-1.5458751470010608</v>
      </c>
      <c r="X9" s="157">
        <v>2.9240329772892251</v>
      </c>
      <c r="Y9" s="161">
        <f t="shared" si="10"/>
        <v>0</v>
      </c>
    </row>
    <row r="10" spans="1:25" ht="16.5" customHeight="1" x14ac:dyDescent="0.25">
      <c r="A10" s="159">
        <f t="shared" si="7"/>
        <v>5</v>
      </c>
      <c r="B10" s="4" t="s">
        <v>169</v>
      </c>
      <c r="C10">
        <v>4.0229999999999997</v>
      </c>
      <c r="D10" s="9">
        <v>-0.2</v>
      </c>
      <c r="E10" s="1">
        <f t="shared" si="8"/>
        <v>3.8229999999999995</v>
      </c>
      <c r="F10" s="7">
        <v>3.5700000000000003E-2</v>
      </c>
      <c r="G10" s="160">
        <f t="shared" si="0"/>
        <v>3.9645338587576475</v>
      </c>
      <c r="H10" s="2">
        <v>0.15</v>
      </c>
      <c r="I10" s="1">
        <v>6.3375000000000001E-2</v>
      </c>
      <c r="J10" s="2"/>
      <c r="K10" s="2"/>
      <c r="L10" s="2"/>
      <c r="M10" s="2"/>
      <c r="N10" s="160">
        <f t="shared" si="1"/>
        <v>4.1779088587576476</v>
      </c>
      <c r="O10" s="157">
        <v>2.7761088881610552</v>
      </c>
      <c r="P10" s="161">
        <f t="shared" si="2"/>
        <v>1.4017999705965924</v>
      </c>
      <c r="Q10" s="161">
        <f t="shared" si="3"/>
        <v>2.523859289121642</v>
      </c>
      <c r="R10" s="161">
        <f t="shared" si="4"/>
        <v>2.523859289121642</v>
      </c>
      <c r="S10" s="161">
        <f t="shared" si="5"/>
        <v>2.523859289121642</v>
      </c>
      <c r="T10" s="157">
        <v>2.6892370855420435</v>
      </c>
      <c r="U10" s="161">
        <f t="shared" si="6"/>
        <v>1.4886717732156041</v>
      </c>
      <c r="V10" s="157">
        <v>2.6781304841540208</v>
      </c>
      <c r="W10" s="161">
        <f t="shared" si="9"/>
        <v>1.4997783746036268</v>
      </c>
      <c r="X10" s="157">
        <v>4.1779088587576476</v>
      </c>
      <c r="Y10" s="161">
        <f t="shared" si="10"/>
        <v>0</v>
      </c>
    </row>
    <row r="11" spans="1:25" ht="15" customHeight="1" x14ac:dyDescent="0.25">
      <c r="A11" s="159">
        <f t="shared" si="7"/>
        <v>6</v>
      </c>
      <c r="B11" s="4" t="s">
        <v>23</v>
      </c>
      <c r="C11" s="1">
        <v>1.595</v>
      </c>
      <c r="D11" s="1"/>
      <c r="E11" s="1">
        <f t="shared" si="8"/>
        <v>1.595</v>
      </c>
      <c r="F11" s="7">
        <v>3.5700000000000003E-2</v>
      </c>
      <c r="G11" s="160">
        <f t="shared" si="0"/>
        <v>1.6540495696360054</v>
      </c>
      <c r="H11" s="2"/>
      <c r="I11" s="1">
        <v>0</v>
      </c>
      <c r="J11" s="2"/>
      <c r="K11" s="2"/>
      <c r="L11" s="2"/>
      <c r="M11" s="159"/>
      <c r="N11" s="160">
        <f t="shared" si="1"/>
        <v>1.6540495696360054</v>
      </c>
      <c r="O11" s="157">
        <v>3.31</v>
      </c>
      <c r="P11" s="161">
        <f t="shared" si="2"/>
        <v>-1.6559504303639947</v>
      </c>
      <c r="Q11" s="161">
        <f t="shared" si="3"/>
        <v>-1.4804988074250749</v>
      </c>
      <c r="R11" s="161">
        <f t="shared" si="4"/>
        <v>-1.4804988074250749</v>
      </c>
      <c r="S11" s="161">
        <f t="shared" si="5"/>
        <v>-1.4804988074250749</v>
      </c>
      <c r="T11" s="157">
        <v>1.6656272736721756</v>
      </c>
      <c r="U11" s="161">
        <f t="shared" si="6"/>
        <v>-1.15777040361702E-2</v>
      </c>
      <c r="V11" s="157">
        <v>5.0004850185816041</v>
      </c>
      <c r="W11" s="161">
        <f t="shared" si="9"/>
        <v>-3.3464354489455985</v>
      </c>
      <c r="X11" s="157">
        <v>1.6540495696360054</v>
      </c>
      <c r="Y11" s="161">
        <f t="shared" si="10"/>
        <v>0</v>
      </c>
    </row>
    <row r="12" spans="1:25" ht="15.75" customHeight="1" x14ac:dyDescent="0.25">
      <c r="A12" s="159">
        <f t="shared" si="7"/>
        <v>7</v>
      </c>
      <c r="B12" s="4" t="s">
        <v>98</v>
      </c>
      <c r="C12" s="1">
        <v>2.851</v>
      </c>
      <c r="D12" s="9">
        <v>2.7E-2</v>
      </c>
      <c r="E12" s="1">
        <f t="shared" si="8"/>
        <v>2.8780000000000001</v>
      </c>
      <c r="F12" s="7">
        <v>3.5700000000000003E-2</v>
      </c>
      <c r="G12" s="160">
        <f t="shared" si="0"/>
        <v>2.9845483770610803</v>
      </c>
      <c r="H12" s="5">
        <v>0.15</v>
      </c>
      <c r="I12" s="1" t="s">
        <v>280</v>
      </c>
      <c r="J12" s="2"/>
      <c r="K12" s="2"/>
      <c r="L12" s="2"/>
      <c r="M12" s="159"/>
      <c r="N12" s="160">
        <f t="shared" si="1"/>
        <v>3.1345483770610802</v>
      </c>
      <c r="O12" s="157">
        <v>0.65704658438343611</v>
      </c>
      <c r="P12" s="161">
        <f t="shared" si="2"/>
        <v>2.4775017926776441</v>
      </c>
      <c r="Q12" s="161">
        <f t="shared" si="3"/>
        <v>-0.60622162293891924</v>
      </c>
      <c r="R12" s="161">
        <f t="shared" si="4"/>
        <v>-0.60622162293891924</v>
      </c>
      <c r="S12" s="161">
        <f t="shared" si="5"/>
        <v>-0.60622162293891924</v>
      </c>
      <c r="T12" s="157">
        <v>2.5527491944704295</v>
      </c>
      <c r="U12" s="161">
        <f t="shared" si="6"/>
        <v>0.58179918259065078</v>
      </c>
      <c r="V12" s="157">
        <v>2.9233934603076288</v>
      </c>
      <c r="W12" s="161">
        <f t="shared" si="9"/>
        <v>0.21115491675345144</v>
      </c>
      <c r="X12" s="157">
        <v>3.1345483770610802</v>
      </c>
      <c r="Y12" s="161">
        <f t="shared" si="10"/>
        <v>0</v>
      </c>
    </row>
    <row r="13" spans="1:25" ht="15" customHeight="1" x14ac:dyDescent="0.25">
      <c r="A13" s="159">
        <f t="shared" si="7"/>
        <v>8</v>
      </c>
      <c r="B13" s="4" t="s">
        <v>57</v>
      </c>
      <c r="C13" s="9">
        <v>3.5259999999999998</v>
      </c>
      <c r="D13" s="1"/>
      <c r="E13" s="1">
        <f t="shared" si="8"/>
        <v>3.5259999999999998</v>
      </c>
      <c r="F13" s="7"/>
      <c r="G13" s="160">
        <f t="shared" si="0"/>
        <v>3.5259999999999998</v>
      </c>
      <c r="H13" s="5">
        <v>0.15</v>
      </c>
      <c r="I13" s="1">
        <v>6.4769999999999994E-2</v>
      </c>
      <c r="J13" s="2"/>
      <c r="K13" s="2"/>
      <c r="L13" s="2"/>
      <c r="M13" s="2"/>
      <c r="N13" s="160">
        <f t="shared" si="1"/>
        <v>3.7407699999999995</v>
      </c>
      <c r="O13" s="157">
        <v>2.1547486289977424</v>
      </c>
      <c r="P13" s="161">
        <f t="shared" si="2"/>
        <v>1.586021371002257</v>
      </c>
      <c r="Q13" s="161">
        <f t="shared" si="3"/>
        <v>2.9202558223581869</v>
      </c>
      <c r="R13" s="161">
        <f t="shared" si="4"/>
        <v>2.9202558223581869</v>
      </c>
      <c r="S13" s="161">
        <f t="shared" si="5"/>
        <v>2.9202558223581869</v>
      </c>
      <c r="T13" s="157">
        <v>1.6698887849495896</v>
      </c>
      <c r="U13" s="161">
        <f t="shared" si="6"/>
        <v>2.0708812150504099</v>
      </c>
      <c r="V13" s="157">
        <v>3.8507699999999998</v>
      </c>
      <c r="W13" s="161">
        <f t="shared" si="9"/>
        <v>-0.11000000000000032</v>
      </c>
      <c r="X13" s="157">
        <v>3.7407699999999995</v>
      </c>
      <c r="Y13" s="161">
        <f t="shared" si="10"/>
        <v>0</v>
      </c>
    </row>
    <row r="14" spans="1:25" ht="18" customHeight="1" x14ac:dyDescent="0.25">
      <c r="A14" s="159">
        <f t="shared" si="7"/>
        <v>9</v>
      </c>
      <c r="B14" s="4" t="s">
        <v>56</v>
      </c>
      <c r="C14" s="50">
        <v>0.60799999999999998</v>
      </c>
      <c r="D14" s="1"/>
      <c r="E14" s="1">
        <f t="shared" si="8"/>
        <v>0.60799999999999998</v>
      </c>
      <c r="F14" s="7">
        <v>3.5700000000000003E-2</v>
      </c>
      <c r="G14" s="160">
        <f t="shared" si="0"/>
        <v>0.63050917764181269</v>
      </c>
      <c r="H14" s="5">
        <v>0.15</v>
      </c>
      <c r="I14" s="1">
        <v>4.0004999999999999E-2</v>
      </c>
      <c r="J14" s="2"/>
      <c r="K14" s="2"/>
      <c r="L14" s="2"/>
      <c r="M14" s="159"/>
      <c r="N14" s="160">
        <f t="shared" si="1"/>
        <v>0.82051417764181267</v>
      </c>
      <c r="O14" s="157">
        <v>2.8726060355558705</v>
      </c>
      <c r="P14" s="161">
        <f t="shared" si="2"/>
        <v>-2.0520918579140579</v>
      </c>
      <c r="Q14" s="161">
        <f t="shared" si="3"/>
        <v>-1.9597409296899304</v>
      </c>
      <c r="R14" s="161">
        <f t="shared" si="4"/>
        <v>-1.9597409296899304</v>
      </c>
      <c r="S14" s="161">
        <f t="shared" si="5"/>
        <v>-1.9597409296899304</v>
      </c>
      <c r="T14" s="157">
        <v>2.6954734435089907</v>
      </c>
      <c r="U14" s="161">
        <f t="shared" si="6"/>
        <v>-1.8749592658671781</v>
      </c>
      <c r="V14" s="157">
        <v>0.80423025033550111</v>
      </c>
      <c r="W14" s="161">
        <f t="shared" si="9"/>
        <v>1.6283927306311563E-2</v>
      </c>
      <c r="X14" s="157">
        <v>0.82051417764181267</v>
      </c>
      <c r="Y14" s="161">
        <f t="shared" si="10"/>
        <v>0</v>
      </c>
    </row>
    <row r="15" spans="1:25" ht="18" customHeight="1" x14ac:dyDescent="0.25">
      <c r="A15" s="159">
        <f t="shared" si="7"/>
        <v>10</v>
      </c>
      <c r="B15" s="4" t="s">
        <v>27</v>
      </c>
      <c r="C15">
        <v>2.7490000000000001</v>
      </c>
      <c r="D15" s="1">
        <v>-6.8000000000000005E-2</v>
      </c>
      <c r="E15" s="1">
        <f t="shared" si="8"/>
        <v>2.681</v>
      </c>
      <c r="F15" s="7">
        <v>3.5700000000000003E-2</v>
      </c>
      <c r="G15" s="160">
        <f t="shared" si="0"/>
        <v>2.780255107331743</v>
      </c>
      <c r="H15" s="2"/>
      <c r="I15" s="1">
        <v>0</v>
      </c>
      <c r="J15" s="2"/>
      <c r="K15" s="2"/>
      <c r="L15" s="2"/>
      <c r="M15" s="2"/>
      <c r="N15" s="160">
        <f t="shared" si="1"/>
        <v>2.780255107331743</v>
      </c>
      <c r="O15" s="157">
        <v>2.9216754624977499</v>
      </c>
      <c r="P15" s="161">
        <f t="shared" si="2"/>
        <v>-0.14142035516600693</v>
      </c>
      <c r="Q15" s="161">
        <f t="shared" si="3"/>
        <v>1.1241314943482317</v>
      </c>
      <c r="R15" s="161">
        <f t="shared" si="4"/>
        <v>1.1241314943482317</v>
      </c>
      <c r="S15" s="161">
        <f t="shared" si="5"/>
        <v>1.1241314943482317</v>
      </c>
      <c r="T15" s="157">
        <v>3.3719999999999999</v>
      </c>
      <c r="U15" s="161">
        <f t="shared" si="6"/>
        <v>-0.59174489266825692</v>
      </c>
      <c r="V15" s="157">
        <v>4.0528543408692066</v>
      </c>
      <c r="W15" s="161">
        <f t="shared" si="9"/>
        <v>-1.2725992335374636</v>
      </c>
      <c r="X15" s="157">
        <v>2.780255107331743</v>
      </c>
      <c r="Y15" s="161">
        <f t="shared" si="10"/>
        <v>0</v>
      </c>
    </row>
    <row r="16" spans="1:25" ht="18" customHeight="1" x14ac:dyDescent="0.25">
      <c r="A16" s="159">
        <f t="shared" si="7"/>
        <v>11</v>
      </c>
      <c r="B16" s="4" t="s">
        <v>19</v>
      </c>
      <c r="C16" s="1">
        <v>1.597</v>
      </c>
      <c r="D16" s="1"/>
      <c r="E16" s="1">
        <f t="shared" si="8"/>
        <v>1.597</v>
      </c>
      <c r="F16" s="7">
        <v>3.5700000000000003E-2</v>
      </c>
      <c r="G16" s="160">
        <f t="shared" si="0"/>
        <v>1.6561236129835113</v>
      </c>
      <c r="H16" s="2"/>
      <c r="I16" s="1">
        <v>0</v>
      </c>
      <c r="J16" s="2"/>
      <c r="K16" s="2"/>
      <c r="L16" s="2"/>
      <c r="M16" s="2"/>
      <c r="N16" s="160">
        <f t="shared" si="1"/>
        <v>1.6561236129835113</v>
      </c>
      <c r="O16" s="157">
        <v>1.5871379253605995</v>
      </c>
      <c r="P16" s="161">
        <f t="shared" si="2"/>
        <v>6.8985687622911795E-2</v>
      </c>
      <c r="Q16" s="161">
        <f t="shared" si="3"/>
        <v>-2.6055431530644002</v>
      </c>
      <c r="R16" s="161">
        <f t="shared" si="4"/>
        <v>-2.6055431530644002</v>
      </c>
      <c r="S16" s="161">
        <f t="shared" si="5"/>
        <v>-2.6055431530644002</v>
      </c>
      <c r="T16" s="157">
        <v>0.70503585905831001</v>
      </c>
      <c r="U16" s="161">
        <f t="shared" si="6"/>
        <v>0.95108775392520128</v>
      </c>
      <c r="V16" s="157">
        <v>1.6509890059337258</v>
      </c>
      <c r="W16" s="161">
        <f t="shared" si="9"/>
        <v>5.1346070497855223E-3</v>
      </c>
      <c r="X16" s="157">
        <v>1.6561236129835113</v>
      </c>
      <c r="Y16" s="161">
        <f t="shared" si="10"/>
        <v>0</v>
      </c>
    </row>
    <row r="17" spans="1:25" ht="18" customHeight="1" x14ac:dyDescent="0.25">
      <c r="A17" s="159">
        <f t="shared" si="7"/>
        <v>12</v>
      </c>
      <c r="B17" s="4" t="s">
        <v>175</v>
      </c>
      <c r="C17">
        <v>3.911</v>
      </c>
      <c r="D17" s="1"/>
      <c r="E17" s="1">
        <f t="shared" si="8"/>
        <v>3.911</v>
      </c>
      <c r="F17" s="7">
        <v>3.5700000000000003E-2</v>
      </c>
      <c r="G17" s="160">
        <f t="shared" si="0"/>
        <v>4.0557917660479106</v>
      </c>
      <c r="H17" s="2">
        <v>0.15</v>
      </c>
      <c r="I17" s="1">
        <v>5.5875000000000001E-2</v>
      </c>
      <c r="J17" s="2"/>
      <c r="K17" s="2"/>
      <c r="L17" s="2"/>
      <c r="M17" s="159"/>
      <c r="N17" s="160">
        <f t="shared" si="1"/>
        <v>4.2616667660479113</v>
      </c>
      <c r="O17" s="157">
        <v>1.5590808883238925</v>
      </c>
      <c r="P17" s="161">
        <f t="shared" si="2"/>
        <v>2.7025858777240188</v>
      </c>
      <c r="Q17" s="161">
        <f t="shared" si="3"/>
        <v>2.5661056020284154</v>
      </c>
      <c r="R17" s="161">
        <f t="shared" si="4"/>
        <v>2.5661056020284154</v>
      </c>
      <c r="S17" s="161">
        <f t="shared" si="5"/>
        <v>2.5661056020284154</v>
      </c>
      <c r="T17" s="157">
        <v>2.1505041056023284</v>
      </c>
      <c r="U17" s="161">
        <f t="shared" si="6"/>
        <v>2.1111626604455829</v>
      </c>
      <c r="V17" s="157">
        <v>1.6072497528904717</v>
      </c>
      <c r="W17" s="161">
        <f t="shared" si="9"/>
        <v>2.6544170131574396</v>
      </c>
      <c r="X17" s="157">
        <v>4.2616667660479113</v>
      </c>
      <c r="Y17" s="161">
        <f t="shared" si="10"/>
        <v>0</v>
      </c>
    </row>
    <row r="18" spans="1:25" ht="15.75" customHeight="1" x14ac:dyDescent="0.25">
      <c r="A18" s="159">
        <f t="shared" si="7"/>
        <v>13</v>
      </c>
      <c r="B18" s="4" t="s">
        <v>36</v>
      </c>
      <c r="C18">
        <v>1.504</v>
      </c>
      <c r="D18" s="1">
        <v>4.0000000000000001E-3</v>
      </c>
      <c r="E18" s="1">
        <f t="shared" si="8"/>
        <v>1.508</v>
      </c>
      <c r="F18" s="7">
        <v>3.5700000000000003E-2</v>
      </c>
      <c r="G18" s="160">
        <f t="shared" si="0"/>
        <v>1.5638286840194959</v>
      </c>
      <c r="H18" s="2"/>
      <c r="I18" s="1">
        <v>0.13173248000000001</v>
      </c>
      <c r="J18" s="2"/>
      <c r="K18" s="2"/>
      <c r="L18" s="2"/>
      <c r="M18" s="2"/>
      <c r="N18" s="160">
        <f t="shared" si="1"/>
        <v>1.6955611640194959</v>
      </c>
      <c r="O18" s="157">
        <v>2.0296503101080385</v>
      </c>
      <c r="P18" s="161">
        <f t="shared" si="2"/>
        <v>-0.33408914608854268</v>
      </c>
      <c r="Q18" s="161">
        <f t="shared" si="3"/>
        <v>4.3829457081820955E-2</v>
      </c>
      <c r="R18" s="161">
        <f t="shared" si="4"/>
        <v>4.3829457081820955E-2</v>
      </c>
      <c r="S18" s="161">
        <f t="shared" si="5"/>
        <v>4.3829457081820955E-2</v>
      </c>
      <c r="T18" s="157">
        <v>1.5863215881924957</v>
      </c>
      <c r="U18" s="161">
        <f t="shared" si="6"/>
        <v>0.10923957582700017</v>
      </c>
      <c r="V18" s="157">
        <v>2.3703257138432954</v>
      </c>
      <c r="W18" s="161">
        <f t="shared" si="9"/>
        <v>-0.67476454982379952</v>
      </c>
      <c r="X18" s="157">
        <v>1.6955611640194959</v>
      </c>
      <c r="Y18" s="161">
        <f t="shared" si="10"/>
        <v>0</v>
      </c>
    </row>
    <row r="19" spans="1:25" ht="15.75" customHeight="1" x14ac:dyDescent="0.25">
      <c r="A19" s="159">
        <f t="shared" si="7"/>
        <v>14</v>
      </c>
      <c r="B19" s="44" t="s">
        <v>37</v>
      </c>
      <c r="C19">
        <v>1.4770000000000001</v>
      </c>
      <c r="D19" s="1">
        <v>2.99E-3</v>
      </c>
      <c r="E19" s="1">
        <f t="shared" si="8"/>
        <v>1.4799900000000001</v>
      </c>
      <c r="F19" s="7">
        <v>3.5700000000000003E-2</v>
      </c>
      <c r="G19" s="160">
        <f t="shared" si="0"/>
        <v>1.534781706937675</v>
      </c>
      <c r="H19" s="2"/>
      <c r="I19" s="1">
        <v>0.11695</v>
      </c>
      <c r="J19" s="2"/>
      <c r="K19" s="2"/>
      <c r="L19" s="2"/>
      <c r="M19" s="159"/>
      <c r="N19" s="160">
        <f t="shared" si="1"/>
        <v>1.6517317069376749</v>
      </c>
      <c r="O19" s="157">
        <v>2.4071804240280845</v>
      </c>
      <c r="P19" s="161">
        <f t="shared" si="2"/>
        <v>-0.75544871709040962</v>
      </c>
      <c r="Q19" s="161">
        <f t="shared" si="3"/>
        <v>-0.38257264959037629</v>
      </c>
      <c r="R19" s="161">
        <f t="shared" si="4"/>
        <v>-0.38257264959037629</v>
      </c>
      <c r="S19" s="161">
        <f t="shared" si="5"/>
        <v>-0.38257264959037629</v>
      </c>
      <c r="T19" s="157">
        <v>2.6057582371894816</v>
      </c>
      <c r="U19" s="161">
        <f t="shared" si="6"/>
        <v>-0.95402653025180673</v>
      </c>
      <c r="V19" s="157">
        <v>3.9901661298647668</v>
      </c>
      <c r="W19" s="161">
        <f t="shared" si="9"/>
        <v>-2.3384344229270919</v>
      </c>
      <c r="X19" s="157">
        <v>1.6517317069376749</v>
      </c>
      <c r="Y19" s="161">
        <f t="shared" si="10"/>
        <v>0</v>
      </c>
    </row>
    <row r="20" spans="1:25" ht="15.75" customHeight="1" x14ac:dyDescent="0.25">
      <c r="A20" s="159">
        <f t="shared" si="7"/>
        <v>15</v>
      </c>
      <c r="B20" s="4" t="s">
        <v>272</v>
      </c>
      <c r="C20" s="1">
        <v>1.865</v>
      </c>
      <c r="D20" s="1">
        <v>-3.0000000000000001E-3</v>
      </c>
      <c r="E20" s="1">
        <f t="shared" si="8"/>
        <v>1.8620000000000001</v>
      </c>
      <c r="F20" s="7">
        <v>3.5700000000000003E-2</v>
      </c>
      <c r="G20" s="160">
        <f t="shared" si="0"/>
        <v>1.9309343565280515</v>
      </c>
      <c r="H20" s="2"/>
      <c r="I20" s="1">
        <v>5.3370000000000001E-2</v>
      </c>
      <c r="J20" s="2">
        <v>0.05</v>
      </c>
      <c r="K20" s="2"/>
      <c r="L20" s="2"/>
      <c r="M20" s="2"/>
      <c r="N20" s="160">
        <f t="shared" si="1"/>
        <v>2.0343043565280512</v>
      </c>
      <c r="O20" s="157">
        <v>3.420833290886228</v>
      </c>
      <c r="P20" s="161">
        <f t="shared" si="2"/>
        <v>-1.3865289343581768</v>
      </c>
      <c r="Q20" s="161">
        <f t="shared" si="3"/>
        <v>0.58167044073421126</v>
      </c>
      <c r="R20" s="161">
        <f t="shared" si="4"/>
        <v>0.58167044073421126</v>
      </c>
      <c r="S20" s="161">
        <f t="shared" si="5"/>
        <v>0.58167044073421126</v>
      </c>
      <c r="T20" s="157">
        <v>1.6800748362956035</v>
      </c>
      <c r="U20" s="161">
        <f t="shared" si="6"/>
        <v>0.35422952023244769</v>
      </c>
      <c r="V20" s="157">
        <v>3.3451422912150304</v>
      </c>
      <c r="W20" s="161">
        <f t="shared" si="9"/>
        <v>-1.3108379346869792</v>
      </c>
      <c r="X20" s="157">
        <v>2.0343043565280512</v>
      </c>
      <c r="Y20" s="161">
        <f t="shared" si="10"/>
        <v>0</v>
      </c>
    </row>
    <row r="21" spans="1:25" ht="15.75" customHeight="1" x14ac:dyDescent="0.25">
      <c r="A21" s="159">
        <f t="shared" si="7"/>
        <v>16</v>
      </c>
      <c r="B21" s="4" t="s">
        <v>172</v>
      </c>
      <c r="C21">
        <v>1.288</v>
      </c>
      <c r="D21" s="1"/>
      <c r="E21" s="1">
        <f t="shared" si="8"/>
        <v>1.288</v>
      </c>
      <c r="F21" s="7">
        <v>3.5700000000000003E-2</v>
      </c>
      <c r="G21" s="160">
        <f t="shared" si="0"/>
        <v>1.33568391579384</v>
      </c>
      <c r="H21" s="2"/>
      <c r="I21" s="1">
        <v>0.11695</v>
      </c>
      <c r="J21" s="2"/>
      <c r="K21" s="2"/>
      <c r="L21" s="2"/>
      <c r="M21" s="159"/>
      <c r="N21" s="160">
        <f t="shared" si="1"/>
        <v>1.4526339157938399</v>
      </c>
      <c r="O21" s="157">
        <v>3.4980878819179853</v>
      </c>
      <c r="P21" s="161">
        <f t="shared" si="2"/>
        <v>-2.0454539661241453</v>
      </c>
      <c r="Q21" s="161">
        <f t="shared" si="3"/>
        <v>-2.5502697448926681</v>
      </c>
      <c r="R21" s="161">
        <f t="shared" si="4"/>
        <v>-2.5502697448926681</v>
      </c>
      <c r="S21" s="161">
        <f t="shared" si="5"/>
        <v>-2.5502697448926681</v>
      </c>
      <c r="T21" s="157">
        <v>2.8181218168589548</v>
      </c>
      <c r="U21" s="161">
        <f t="shared" si="6"/>
        <v>-1.3654879010651149</v>
      </c>
      <c r="V21" s="157">
        <v>1.539473174562993</v>
      </c>
      <c r="W21" s="161">
        <f t="shared" si="9"/>
        <v>-8.6839258769153105E-2</v>
      </c>
      <c r="X21" s="157">
        <v>1.4526339157938399</v>
      </c>
      <c r="Y21" s="161">
        <f t="shared" si="10"/>
        <v>0</v>
      </c>
    </row>
    <row r="22" spans="1:25" ht="15.75" customHeight="1" x14ac:dyDescent="0.25">
      <c r="A22" s="159">
        <f t="shared" si="7"/>
        <v>17</v>
      </c>
      <c r="B22" s="44" t="s">
        <v>18</v>
      </c>
      <c r="C22">
        <v>3.86</v>
      </c>
      <c r="D22" s="9"/>
      <c r="E22" s="1">
        <f t="shared" si="8"/>
        <v>3.86</v>
      </c>
      <c r="F22" s="7">
        <v>3.5700000000000003E-2</v>
      </c>
      <c r="G22" s="160">
        <f t="shared" si="0"/>
        <v>4.002903660686508</v>
      </c>
      <c r="H22" s="2"/>
      <c r="I22" s="1">
        <v>0</v>
      </c>
      <c r="J22" s="2"/>
      <c r="K22" s="2"/>
      <c r="L22" s="2"/>
      <c r="M22" s="2"/>
      <c r="N22" s="160">
        <f t="shared" si="1"/>
        <v>4.002903660686508</v>
      </c>
      <c r="O22" s="157">
        <v>2.5944006793503278</v>
      </c>
      <c r="P22" s="161">
        <f t="shared" si="2"/>
        <v>1.4085029813361802</v>
      </c>
      <c r="Q22" s="161">
        <f t="shared" si="3"/>
        <v>4.6665975318884279E-2</v>
      </c>
      <c r="R22" s="161">
        <f t="shared" si="4"/>
        <v>4.6665975318884279E-2</v>
      </c>
      <c r="S22" s="161">
        <f t="shared" si="5"/>
        <v>4.6665975318884279E-2</v>
      </c>
      <c r="T22" s="157">
        <v>1.5424592038249663</v>
      </c>
      <c r="U22" s="161">
        <f t="shared" si="6"/>
        <v>2.4604444568615418</v>
      </c>
      <c r="V22" s="157">
        <v>2.052</v>
      </c>
      <c r="W22" s="161">
        <f t="shared" si="9"/>
        <v>1.950903660686508</v>
      </c>
      <c r="X22" s="157">
        <v>4.002903660686508</v>
      </c>
      <c r="Y22" s="161">
        <f t="shared" si="10"/>
        <v>0</v>
      </c>
    </row>
    <row r="23" spans="1:25" ht="15.75" customHeight="1" x14ac:dyDescent="0.25">
      <c r="A23" s="159">
        <f t="shared" si="7"/>
        <v>18</v>
      </c>
      <c r="B23" s="44" t="s">
        <v>103</v>
      </c>
      <c r="C23">
        <v>3.8149999999999999</v>
      </c>
      <c r="D23" s="9"/>
      <c r="E23" s="1">
        <f t="shared" si="8"/>
        <v>3.8149999999999999</v>
      </c>
      <c r="F23" s="7">
        <v>3.5700000000000003E-2</v>
      </c>
      <c r="G23" s="160">
        <f t="shared" si="0"/>
        <v>3.9562376853676238</v>
      </c>
      <c r="H23" s="2"/>
      <c r="I23" s="1">
        <v>0</v>
      </c>
      <c r="J23" s="2"/>
      <c r="K23" s="2"/>
      <c r="L23" s="2"/>
      <c r="M23" s="2"/>
      <c r="N23" s="160">
        <f t="shared" si="1"/>
        <v>3.9562376853676238</v>
      </c>
      <c r="O23" s="157">
        <v>2.5933627172784171</v>
      </c>
      <c r="P23" s="161">
        <f t="shared" si="2"/>
        <v>1.3628749680892067</v>
      </c>
      <c r="Q23" s="161">
        <f t="shared" si="3"/>
        <v>1.2230946930415847</v>
      </c>
      <c r="R23" s="161">
        <f t="shared" si="4"/>
        <v>1.2230946930415847</v>
      </c>
      <c r="S23" s="161">
        <f t="shared" si="5"/>
        <v>1.2230946930415847</v>
      </c>
      <c r="T23" s="157">
        <v>1.5112774139902296</v>
      </c>
      <c r="U23" s="161">
        <f t="shared" si="6"/>
        <v>2.4449602713773944</v>
      </c>
      <c r="V23" s="157">
        <v>2.601</v>
      </c>
      <c r="W23" s="161">
        <f t="shared" si="9"/>
        <v>1.3552376853676238</v>
      </c>
      <c r="X23" s="157">
        <v>3.9562376853676238</v>
      </c>
      <c r="Y23" s="161">
        <f t="shared" si="10"/>
        <v>0</v>
      </c>
    </row>
    <row r="24" spans="1:25" ht="15.75" customHeight="1" x14ac:dyDescent="0.25">
      <c r="A24" s="159">
        <f t="shared" si="7"/>
        <v>19</v>
      </c>
      <c r="B24" s="4" t="s">
        <v>70</v>
      </c>
      <c r="C24" s="1">
        <v>2.4449999999999998</v>
      </c>
      <c r="D24" s="1"/>
      <c r="E24" s="1">
        <f t="shared" si="8"/>
        <v>2.4449999999999998</v>
      </c>
      <c r="F24" s="7">
        <v>3.5700000000000003E-2</v>
      </c>
      <c r="G24" s="160">
        <f t="shared" si="0"/>
        <v>2.5355179923260391</v>
      </c>
      <c r="H24" s="2">
        <v>0.15</v>
      </c>
      <c r="I24" s="1">
        <v>4.7625000000000001E-2</v>
      </c>
      <c r="J24" s="2"/>
      <c r="K24" s="2"/>
      <c r="L24" s="2"/>
      <c r="M24" s="159"/>
      <c r="N24" s="160">
        <f t="shared" si="1"/>
        <v>2.7331429923260391</v>
      </c>
      <c r="O24" s="157">
        <v>1.5003771134909873</v>
      </c>
      <c r="P24" s="161">
        <f t="shared" si="2"/>
        <v>1.2327658788350517</v>
      </c>
      <c r="Q24" s="161">
        <f t="shared" si="3"/>
        <v>1.1878428414732025</v>
      </c>
      <c r="R24" s="161">
        <f t="shared" si="4"/>
        <v>1.1878428414732025</v>
      </c>
      <c r="S24" s="161">
        <f t="shared" si="5"/>
        <v>1.1878428414732025</v>
      </c>
      <c r="T24" s="157">
        <v>1.8335983785469288</v>
      </c>
      <c r="U24" s="161">
        <f t="shared" si="6"/>
        <v>0.89954461377911032</v>
      </c>
      <c r="V24" s="157">
        <v>3.2283223617993189</v>
      </c>
      <c r="W24" s="161">
        <f t="shared" si="9"/>
        <v>-0.49517936947327978</v>
      </c>
      <c r="X24" s="157">
        <v>2.7331429923260391</v>
      </c>
      <c r="Y24" s="161">
        <f t="shared" si="10"/>
        <v>0</v>
      </c>
    </row>
    <row r="25" spans="1:25" ht="15.75" customHeight="1" x14ac:dyDescent="0.25">
      <c r="A25" s="159">
        <f t="shared" si="7"/>
        <v>20</v>
      </c>
      <c r="B25" s="4" t="s">
        <v>43</v>
      </c>
      <c r="C25" s="1">
        <v>1.1494</v>
      </c>
      <c r="D25" s="1"/>
      <c r="E25" s="1">
        <f t="shared" si="8"/>
        <v>1.1494</v>
      </c>
      <c r="F25" s="7">
        <v>3.5700000000000003E-2</v>
      </c>
      <c r="G25" s="160">
        <f t="shared" si="0"/>
        <v>1.1919527118116768</v>
      </c>
      <c r="H25" s="2">
        <v>0.15</v>
      </c>
      <c r="I25" s="1">
        <v>3.8347439041159732E-2</v>
      </c>
      <c r="J25" s="2"/>
      <c r="K25" s="2"/>
      <c r="L25" s="5">
        <v>0.16500000000000001</v>
      </c>
      <c r="M25" s="2"/>
      <c r="N25" s="160">
        <f t="shared" si="1"/>
        <v>1.5453001508528366</v>
      </c>
      <c r="O25" s="157">
        <v>1.907</v>
      </c>
      <c r="P25" s="161">
        <f t="shared" si="2"/>
        <v>-0.36169984914716347</v>
      </c>
      <c r="Q25" s="161" t="e">
        <f>N25-#REF!</f>
        <v>#REF!</v>
      </c>
      <c r="R25" s="161" t="e">
        <f>N25-#REF!</f>
        <v>#REF!</v>
      </c>
      <c r="S25" s="161" t="e">
        <f>N25-#REF!</f>
        <v>#REF!</v>
      </c>
      <c r="T25" s="157">
        <v>2.1025880885562831</v>
      </c>
      <c r="U25" s="161">
        <f t="shared" si="6"/>
        <v>-0.55728793770344653</v>
      </c>
      <c r="V25" s="157">
        <v>3.4801030988696198</v>
      </c>
      <c r="W25" s="161">
        <f t="shared" si="9"/>
        <v>-1.9348029480167832</v>
      </c>
      <c r="X25" s="157">
        <v>1.5453001508528366</v>
      </c>
      <c r="Y25" s="161">
        <f t="shared" si="10"/>
        <v>0</v>
      </c>
    </row>
    <row r="26" spans="1:25" ht="15.75" customHeight="1" x14ac:dyDescent="0.25">
      <c r="A26" s="159">
        <f t="shared" si="7"/>
        <v>21</v>
      </c>
      <c r="B26" s="4" t="s">
        <v>25</v>
      </c>
      <c r="C26" s="1">
        <v>2.82</v>
      </c>
      <c r="D26" s="1">
        <v>-1E-3</v>
      </c>
      <c r="E26" s="1">
        <f t="shared" si="8"/>
        <v>2.819</v>
      </c>
      <c r="F26" s="7"/>
      <c r="G26" s="160">
        <f t="shared" si="0"/>
        <v>2.819</v>
      </c>
      <c r="H26" s="2"/>
      <c r="I26" s="1">
        <v>0</v>
      </c>
      <c r="J26" s="2"/>
      <c r="K26" s="2"/>
      <c r="L26" s="2"/>
      <c r="M26" s="2"/>
      <c r="N26" s="160">
        <f t="shared" si="1"/>
        <v>2.819</v>
      </c>
      <c r="O26" s="157">
        <v>1.6171687997527844</v>
      </c>
      <c r="P26" s="161">
        <f t="shared" si="2"/>
        <v>1.2018312002472156</v>
      </c>
      <c r="Q26" s="161">
        <f t="shared" si="3"/>
        <v>-0.18100000000000005</v>
      </c>
      <c r="R26" s="161">
        <f t="shared" si="4"/>
        <v>-0.18100000000000005</v>
      </c>
      <c r="S26" s="161">
        <f t="shared" si="5"/>
        <v>-0.18100000000000005</v>
      </c>
      <c r="T26" s="157">
        <v>3.070366905727056</v>
      </c>
      <c r="U26" s="161">
        <f t="shared" si="6"/>
        <v>-0.251366905727056</v>
      </c>
      <c r="V26" s="157">
        <v>3.4649999999999999</v>
      </c>
      <c r="W26" s="161">
        <f t="shared" si="9"/>
        <v>-0.64599999999999991</v>
      </c>
      <c r="X26" s="157">
        <v>2.819</v>
      </c>
      <c r="Y26" s="161">
        <f t="shared" si="10"/>
        <v>0</v>
      </c>
    </row>
    <row r="27" spans="1:25" ht="15.75" customHeight="1" x14ac:dyDescent="0.25">
      <c r="A27" s="159">
        <f t="shared" si="7"/>
        <v>22</v>
      </c>
      <c r="B27" s="4" t="s">
        <v>22</v>
      </c>
      <c r="C27" s="1">
        <v>2.9980000000000002</v>
      </c>
      <c r="D27" s="1">
        <v>2E-3</v>
      </c>
      <c r="E27" s="1">
        <f t="shared" si="8"/>
        <v>3</v>
      </c>
      <c r="F27" s="7"/>
      <c r="G27" s="160">
        <f t="shared" si="0"/>
        <v>3</v>
      </c>
      <c r="H27" s="2"/>
      <c r="I27" s="1">
        <v>0</v>
      </c>
      <c r="J27" s="2"/>
      <c r="K27" s="2"/>
      <c r="L27" s="2"/>
      <c r="M27" s="159"/>
      <c r="N27" s="160">
        <f t="shared" si="1"/>
        <v>3</v>
      </c>
      <c r="O27" s="157">
        <v>1.6656118858493769</v>
      </c>
      <c r="P27" s="161">
        <f t="shared" si="2"/>
        <v>1.3343881141506231</v>
      </c>
      <c r="Q27" s="161">
        <f t="shared" si="3"/>
        <v>1.2830409591154206</v>
      </c>
      <c r="R27" s="161">
        <f t="shared" si="4"/>
        <v>1.2830409591154206</v>
      </c>
      <c r="S27" s="161">
        <f t="shared" si="5"/>
        <v>1.2830409591154206</v>
      </c>
      <c r="T27" s="157">
        <v>2.6528583307348508</v>
      </c>
      <c r="U27" s="161">
        <f t="shared" si="6"/>
        <v>0.34714166926514922</v>
      </c>
      <c r="V27" s="157">
        <v>3.1150000000000002</v>
      </c>
      <c r="W27" s="161">
        <f t="shared" si="9"/>
        <v>-0.11500000000000021</v>
      </c>
      <c r="X27" s="157">
        <v>3</v>
      </c>
      <c r="Y27" s="161">
        <f t="shared" si="10"/>
        <v>0</v>
      </c>
    </row>
    <row r="28" spans="1:25" ht="15.75" customHeight="1" x14ac:dyDescent="0.25">
      <c r="A28" s="159">
        <f t="shared" si="7"/>
        <v>23</v>
      </c>
      <c r="B28" s="4" t="s">
        <v>29</v>
      </c>
      <c r="C28">
        <v>1.536</v>
      </c>
      <c r="D28" s="1"/>
      <c r="E28" s="1">
        <f t="shared" si="8"/>
        <v>1.536</v>
      </c>
      <c r="F28" s="7">
        <v>3.5700000000000003E-2</v>
      </c>
      <c r="G28" s="160">
        <f t="shared" si="0"/>
        <v>1.5928652908845795</v>
      </c>
      <c r="H28" s="2"/>
      <c r="I28" s="1">
        <v>0.12409375</v>
      </c>
      <c r="J28" s="2"/>
      <c r="K28" s="2"/>
      <c r="L28" s="2"/>
      <c r="M28" s="2"/>
      <c r="N28" s="160">
        <f t="shared" si="1"/>
        <v>1.7169590408845794</v>
      </c>
      <c r="O28" s="157">
        <v>3.3988186783046275</v>
      </c>
      <c r="P28" s="161">
        <f t="shared" si="2"/>
        <v>-1.6818596374200481</v>
      </c>
      <c r="Q28" s="161">
        <f t="shared" si="3"/>
        <v>-5.1851083687649346E-2</v>
      </c>
      <c r="R28" s="161">
        <f t="shared" si="4"/>
        <v>-5.1851083687649346E-2</v>
      </c>
      <c r="S28" s="161">
        <f t="shared" si="5"/>
        <v>-5.1851083687649346E-2</v>
      </c>
      <c r="T28" s="157">
        <v>2.6570159027128155</v>
      </c>
      <c r="U28" s="161">
        <f t="shared" si="6"/>
        <v>-0.94005686182823611</v>
      </c>
      <c r="V28" s="157">
        <v>2.9809999999999999</v>
      </c>
      <c r="W28" s="161">
        <f t="shared" si="9"/>
        <v>-1.2640409591154205</v>
      </c>
      <c r="X28" s="157">
        <v>1.7169590408845794</v>
      </c>
      <c r="Y28" s="161">
        <f t="shared" si="10"/>
        <v>0</v>
      </c>
    </row>
    <row r="29" spans="1:25" ht="15.75" customHeight="1" x14ac:dyDescent="0.25">
      <c r="A29" s="159">
        <f t="shared" si="7"/>
        <v>24</v>
      </c>
      <c r="B29" s="4" t="s">
        <v>28</v>
      </c>
      <c r="C29">
        <v>1.5860000000000001</v>
      </c>
      <c r="D29" s="1"/>
      <c r="E29" s="1">
        <f t="shared" si="8"/>
        <v>1.5860000000000001</v>
      </c>
      <c r="F29" s="7">
        <v>3.5700000000000003E-2</v>
      </c>
      <c r="G29" s="160">
        <f t="shared" si="0"/>
        <v>1.6447163745722286</v>
      </c>
      <c r="H29" s="2"/>
      <c r="I29" s="1">
        <v>0.12409375</v>
      </c>
      <c r="J29" s="2"/>
      <c r="K29" s="2"/>
      <c r="L29" s="2"/>
      <c r="M29" s="2"/>
      <c r="N29" s="160">
        <f t="shared" si="1"/>
        <v>1.7688101245722287</v>
      </c>
      <c r="O29" s="157">
        <v>2.839</v>
      </c>
      <c r="P29" s="161">
        <f t="shared" si="2"/>
        <v>-1.0701898754277712</v>
      </c>
      <c r="Q29" s="161">
        <f t="shared" si="3"/>
        <v>-3.117625631935081</v>
      </c>
      <c r="R29" s="161">
        <f t="shared" si="4"/>
        <v>-3.117625631935081</v>
      </c>
      <c r="S29" s="161">
        <f t="shared" si="5"/>
        <v>-3.117625631935081</v>
      </c>
      <c r="T29" s="157">
        <v>4.38</v>
      </c>
      <c r="U29" s="161">
        <f t="shared" si="6"/>
        <v>-2.6111898754277711</v>
      </c>
      <c r="V29" s="157">
        <v>2.423</v>
      </c>
      <c r="W29" s="161">
        <f t="shared" si="9"/>
        <v>-0.65418987542777129</v>
      </c>
      <c r="X29" s="157">
        <v>1.7688101245722287</v>
      </c>
      <c r="Y29" s="161">
        <f t="shared" si="10"/>
        <v>0</v>
      </c>
    </row>
    <row r="30" spans="1:25" ht="15.75" customHeight="1" x14ac:dyDescent="0.25">
      <c r="A30" s="159">
        <f t="shared" si="7"/>
        <v>25</v>
      </c>
      <c r="B30" s="4" t="s">
        <v>117</v>
      </c>
      <c r="C30">
        <v>4.5839999999999996</v>
      </c>
      <c r="D30" s="1">
        <v>0.12798999999999999</v>
      </c>
      <c r="E30" s="1">
        <f t="shared" si="8"/>
        <v>4.7119899999999992</v>
      </c>
      <c r="F30" s="7">
        <v>3.5700000000000003E-2</v>
      </c>
      <c r="G30" s="160">
        <f t="shared" si="0"/>
        <v>4.8864357565073098</v>
      </c>
      <c r="H30" s="2"/>
      <c r="I30" s="1">
        <v>0</v>
      </c>
      <c r="J30" s="2"/>
      <c r="K30" s="2"/>
      <c r="L30" s="2"/>
      <c r="M30" s="2"/>
      <c r="N30" s="160">
        <f t="shared" si="1"/>
        <v>4.8864357565073098</v>
      </c>
      <c r="O30" s="157">
        <v>2.681</v>
      </c>
      <c r="P30" s="161">
        <f t="shared" si="2"/>
        <v>2.2054357565073097</v>
      </c>
      <c r="Q30" s="161">
        <f t="shared" si="3"/>
        <v>1.5924357565073097</v>
      </c>
      <c r="R30" s="161">
        <f t="shared" si="4"/>
        <v>1.5924357565073097</v>
      </c>
      <c r="S30" s="161">
        <f t="shared" si="5"/>
        <v>1.5924357565073097</v>
      </c>
      <c r="T30" s="157">
        <v>1.514156428645671</v>
      </c>
      <c r="U30" s="161">
        <f t="shared" si="6"/>
        <v>3.372279327861639</v>
      </c>
      <c r="V30" s="157">
        <v>1.8737888592959635</v>
      </c>
      <c r="W30" s="161">
        <f t="shared" si="9"/>
        <v>3.0126468972113463</v>
      </c>
      <c r="X30" s="157">
        <v>4.8864357565073098</v>
      </c>
      <c r="Y30" s="161">
        <f t="shared" si="10"/>
        <v>0</v>
      </c>
    </row>
    <row r="31" spans="1:25" ht="18" customHeight="1" x14ac:dyDescent="0.25">
      <c r="A31" s="159">
        <f t="shared" si="7"/>
        <v>26</v>
      </c>
      <c r="B31" s="4" t="s">
        <v>54</v>
      </c>
      <c r="C31" s="1">
        <v>3.3109999999999999</v>
      </c>
      <c r="D31" s="1">
        <v>-1.7000000000000001E-2</v>
      </c>
      <c r="E31" s="1">
        <f t="shared" si="8"/>
        <v>3.294</v>
      </c>
      <c r="F31" s="7"/>
      <c r="G31" s="160">
        <f t="shared" si="0"/>
        <v>3.294</v>
      </c>
      <c r="H31" s="2"/>
      <c r="I31" s="1">
        <v>0</v>
      </c>
      <c r="J31" s="2"/>
      <c r="K31" s="2"/>
      <c r="L31" s="2"/>
      <c r="M31" s="2"/>
      <c r="N31" s="160">
        <f t="shared" si="1"/>
        <v>3.294</v>
      </c>
      <c r="O31" s="157">
        <v>2.7810000000000001</v>
      </c>
      <c r="P31" s="161">
        <f t="shared" si="2"/>
        <v>0.5129999999999999</v>
      </c>
      <c r="Q31" s="161">
        <f t="shared" si="3"/>
        <v>0.27200000000000024</v>
      </c>
      <c r="R31" s="161">
        <f t="shared" si="4"/>
        <v>0.27200000000000024</v>
      </c>
      <c r="S31" s="161">
        <f t="shared" si="5"/>
        <v>0.27200000000000024</v>
      </c>
      <c r="T31" s="157">
        <v>1.998</v>
      </c>
      <c r="U31" s="161">
        <f t="shared" si="6"/>
        <v>1.296</v>
      </c>
      <c r="V31" s="157">
        <v>1.7904667870341695</v>
      </c>
      <c r="W31" s="161">
        <f t="shared" si="9"/>
        <v>1.5035332129658305</v>
      </c>
      <c r="X31" s="157">
        <v>3.294</v>
      </c>
      <c r="Y31" s="161">
        <f t="shared" si="10"/>
        <v>0</v>
      </c>
    </row>
    <row r="32" spans="1:25" ht="18" customHeight="1" x14ac:dyDescent="0.25">
      <c r="A32" s="159">
        <f t="shared" si="7"/>
        <v>27</v>
      </c>
      <c r="B32" s="13" t="s">
        <v>167</v>
      </c>
      <c r="C32" s="1">
        <v>3.0249999999999999</v>
      </c>
      <c r="D32" s="1">
        <v>-3.0000000000000001E-3</v>
      </c>
      <c r="E32" s="1">
        <f t="shared" si="8"/>
        <v>3.0219999999999998</v>
      </c>
      <c r="F32" s="7"/>
      <c r="G32" s="160">
        <f t="shared" si="0"/>
        <v>3.0219999999999998</v>
      </c>
      <c r="H32" s="2"/>
      <c r="I32" s="1">
        <v>0</v>
      </c>
      <c r="J32" s="2"/>
      <c r="K32" s="2"/>
      <c r="L32" s="2"/>
      <c r="M32" s="2"/>
      <c r="N32" s="160">
        <f t="shared" si="1"/>
        <v>3.0219999999999998</v>
      </c>
      <c r="O32" s="157">
        <v>2.3319999999999999</v>
      </c>
      <c r="P32" s="161">
        <f t="shared" si="2"/>
        <v>0.69</v>
      </c>
      <c r="Q32" s="161">
        <f t="shared" si="3"/>
        <v>-0.95400000000000018</v>
      </c>
      <c r="R32" s="161">
        <f t="shared" si="4"/>
        <v>-0.95400000000000018</v>
      </c>
      <c r="S32" s="161">
        <f t="shared" si="5"/>
        <v>-0.95400000000000018</v>
      </c>
      <c r="T32" s="157">
        <v>2.3679999999999999</v>
      </c>
      <c r="U32" s="161">
        <f t="shared" si="6"/>
        <v>0.65399999999999991</v>
      </c>
      <c r="V32" s="157">
        <v>1.7731047537937441</v>
      </c>
      <c r="W32" s="161">
        <f t="shared" si="9"/>
        <v>1.2488952462062557</v>
      </c>
      <c r="X32" s="157">
        <v>3.0219999999999998</v>
      </c>
      <c r="Y32" s="161">
        <f t="shared" si="10"/>
        <v>0</v>
      </c>
    </row>
    <row r="33" spans="1:25" ht="18" customHeight="1" x14ac:dyDescent="0.25">
      <c r="A33" s="159">
        <f t="shared" si="7"/>
        <v>28</v>
      </c>
      <c r="B33" s="13" t="s">
        <v>50</v>
      </c>
      <c r="C33" s="1">
        <v>3.95</v>
      </c>
      <c r="D33" s="1">
        <v>2.5999999999999999E-2</v>
      </c>
      <c r="E33" s="1">
        <f t="shared" si="8"/>
        <v>3.976</v>
      </c>
      <c r="F33" s="7"/>
      <c r="G33" s="160">
        <f t="shared" si="0"/>
        <v>3.976</v>
      </c>
      <c r="H33" s="2"/>
      <c r="I33" s="1">
        <v>0</v>
      </c>
      <c r="J33" s="2"/>
      <c r="K33" s="2"/>
      <c r="L33" s="2"/>
      <c r="M33" s="2"/>
      <c r="N33" s="160">
        <f t="shared" si="1"/>
        <v>3.976</v>
      </c>
      <c r="O33" s="157">
        <v>2.09432160719322</v>
      </c>
      <c r="P33" s="161">
        <f t="shared" si="2"/>
        <v>1.88167839280678</v>
      </c>
      <c r="Q33" s="161">
        <f t="shared" si="3"/>
        <v>1.0860000000000003</v>
      </c>
      <c r="R33" s="161">
        <f t="shared" si="4"/>
        <v>1.0860000000000003</v>
      </c>
      <c r="S33" s="161">
        <f t="shared" si="5"/>
        <v>1.0860000000000003</v>
      </c>
      <c r="T33" s="157">
        <v>1.5486955617919136</v>
      </c>
      <c r="U33" s="161">
        <f t="shared" si="6"/>
        <v>2.4273044382080862</v>
      </c>
      <c r="V33" s="157">
        <v>1.753490838236812</v>
      </c>
      <c r="W33" s="161">
        <f t="shared" si="9"/>
        <v>2.2225091617631882</v>
      </c>
      <c r="X33" s="157">
        <v>3.976</v>
      </c>
      <c r="Y33" s="161">
        <f t="shared" si="10"/>
        <v>0</v>
      </c>
    </row>
    <row r="34" spans="1:25" ht="18" customHeight="1" x14ac:dyDescent="0.25">
      <c r="A34" s="159">
        <f t="shared" si="7"/>
        <v>29</v>
      </c>
      <c r="B34" s="4" t="s">
        <v>60</v>
      </c>
      <c r="C34" s="1">
        <v>2.88</v>
      </c>
      <c r="D34" s="9">
        <v>0.01</v>
      </c>
      <c r="E34" s="1">
        <f t="shared" si="8"/>
        <v>2.8899999999999997</v>
      </c>
      <c r="F34" s="7"/>
      <c r="G34" s="160">
        <f t="shared" si="0"/>
        <v>2.8899999999999997</v>
      </c>
      <c r="H34" s="2"/>
      <c r="I34" s="1">
        <v>0</v>
      </c>
      <c r="J34" s="2"/>
      <c r="K34" s="2"/>
      <c r="L34" s="2"/>
      <c r="M34" s="2"/>
      <c r="N34" s="160">
        <f t="shared" si="1"/>
        <v>2.8899999999999997</v>
      </c>
      <c r="O34" s="157">
        <v>2.02599081588611</v>
      </c>
      <c r="P34" s="161">
        <f t="shared" si="2"/>
        <v>0.86400918411388972</v>
      </c>
      <c r="Q34" s="161">
        <f t="shared" si="3"/>
        <v>0.91724210266514583</v>
      </c>
      <c r="R34" s="161">
        <f t="shared" si="4"/>
        <v>0.91724210266514583</v>
      </c>
      <c r="S34" s="161">
        <f t="shared" si="5"/>
        <v>0.91724210266514583</v>
      </c>
      <c r="T34" s="157">
        <v>1.5964972456085647</v>
      </c>
      <c r="U34" s="161">
        <f t="shared" si="6"/>
        <v>1.293502754391435</v>
      </c>
      <c r="V34" s="157">
        <v>1.8088725374212862</v>
      </c>
      <c r="W34" s="161">
        <f t="shared" si="9"/>
        <v>1.0811274625787135</v>
      </c>
      <c r="X34" s="157">
        <v>2.8899999999999997</v>
      </c>
      <c r="Y34" s="161">
        <f t="shared" si="10"/>
        <v>0</v>
      </c>
    </row>
    <row r="35" spans="1:25" ht="18" customHeight="1" x14ac:dyDescent="0.25">
      <c r="A35" s="159">
        <f t="shared" si="7"/>
        <v>30</v>
      </c>
      <c r="B35" s="4" t="s">
        <v>31</v>
      </c>
      <c r="C35">
        <v>1.6859999999999999</v>
      </c>
      <c r="D35" s="1">
        <v>-1.5900000000000001E-2</v>
      </c>
      <c r="E35" s="1">
        <f t="shared" si="8"/>
        <v>1.6700999999999999</v>
      </c>
      <c r="F35" s="7">
        <v>3.5700000000000003E-2</v>
      </c>
      <c r="G35" s="160">
        <f t="shared" si="0"/>
        <v>1.731929897334854</v>
      </c>
      <c r="H35" s="5">
        <v>0.15</v>
      </c>
      <c r="I35" s="1">
        <v>9.0828000000000006E-2</v>
      </c>
      <c r="J35" s="2"/>
      <c r="K35" s="2"/>
      <c r="L35" s="2"/>
      <c r="M35" s="2"/>
      <c r="N35" s="160">
        <f t="shared" si="1"/>
        <v>1.9727578973348538</v>
      </c>
      <c r="O35" s="157">
        <v>2.0094257755692349</v>
      </c>
      <c r="P35" s="161">
        <f t="shared" si="2"/>
        <v>-3.6667878234381002E-2</v>
      </c>
      <c r="Q35" s="161">
        <f t="shared" si="3"/>
        <v>8.2937722098931577E-2</v>
      </c>
      <c r="R35" s="161">
        <f t="shared" si="4"/>
        <v>8.2937722098931577E-2</v>
      </c>
      <c r="S35" s="161">
        <f t="shared" si="5"/>
        <v>8.2937722098931577E-2</v>
      </c>
      <c r="T35" s="157">
        <v>3.062051761771126</v>
      </c>
      <c r="U35" s="161">
        <f t="shared" si="6"/>
        <v>-1.0892938644362722</v>
      </c>
      <c r="V35" s="157">
        <v>2.0703685351502013</v>
      </c>
      <c r="W35" s="161">
        <f t="shared" si="9"/>
        <v>-9.7610637815347401E-2</v>
      </c>
      <c r="X35" s="157">
        <v>1.9727578973348538</v>
      </c>
      <c r="Y35" s="161">
        <f t="shared" si="10"/>
        <v>0</v>
      </c>
    </row>
    <row r="36" spans="1:25" ht="18" customHeight="1" x14ac:dyDescent="0.25">
      <c r="A36" s="159">
        <f t="shared" si="7"/>
        <v>31</v>
      </c>
      <c r="B36" s="4" t="s">
        <v>34</v>
      </c>
      <c r="C36">
        <v>1.6240000000000001</v>
      </c>
      <c r="D36" s="1">
        <v>-1.49E-2</v>
      </c>
      <c r="E36" s="1">
        <f t="shared" si="8"/>
        <v>1.6091000000000002</v>
      </c>
      <c r="F36" s="7">
        <v>3.5700000000000003E-2</v>
      </c>
      <c r="G36" s="160">
        <f t="shared" si="0"/>
        <v>1.6686715752359225</v>
      </c>
      <c r="H36" s="5">
        <v>0.15</v>
      </c>
      <c r="I36" s="1">
        <v>7.1148599999999992E-2</v>
      </c>
      <c r="J36" s="2"/>
      <c r="K36" s="2"/>
      <c r="L36" s="2"/>
      <c r="M36" s="2"/>
      <c r="N36" s="160">
        <f t="shared" si="1"/>
        <v>1.8898201752359223</v>
      </c>
      <c r="O36" s="157">
        <v>1.9866488451335316</v>
      </c>
      <c r="P36" s="161">
        <f t="shared" si="2"/>
        <v>-9.6828669897609299E-2</v>
      </c>
      <c r="Q36" s="161">
        <f t="shared" si="3"/>
        <v>2.3732627273669982E-2</v>
      </c>
      <c r="R36" s="161">
        <f t="shared" si="4"/>
        <v>2.3732627273669982E-2</v>
      </c>
      <c r="S36" s="161">
        <f t="shared" si="5"/>
        <v>2.3732627273669982E-2</v>
      </c>
      <c r="T36" s="157">
        <v>2.855</v>
      </c>
      <c r="U36" s="161">
        <f t="shared" si="6"/>
        <v>-0.96517982476407771</v>
      </c>
      <c r="V36" s="157">
        <v>2.1523691545370083</v>
      </c>
      <c r="W36" s="161">
        <f t="shared" si="9"/>
        <v>-0.26254897930108601</v>
      </c>
      <c r="X36" s="157">
        <v>1.8898201752359223</v>
      </c>
      <c r="Y36" s="161">
        <f t="shared" si="10"/>
        <v>0</v>
      </c>
    </row>
    <row r="37" spans="1:25" ht="18" customHeight="1" x14ac:dyDescent="0.25">
      <c r="A37" s="159">
        <f t="shared" si="7"/>
        <v>32</v>
      </c>
      <c r="B37" s="4" t="s">
        <v>30</v>
      </c>
      <c r="C37">
        <v>1.61</v>
      </c>
      <c r="D37" s="1">
        <v>-1.6E-2</v>
      </c>
      <c r="E37" s="1">
        <f t="shared" si="8"/>
        <v>1.5940000000000001</v>
      </c>
      <c r="F37" s="7">
        <v>3.5700000000000003E-2</v>
      </c>
      <c r="G37" s="160">
        <f t="shared" si="0"/>
        <v>1.6530125479622524</v>
      </c>
      <c r="H37" s="5">
        <v>0.15</v>
      </c>
      <c r="I37" s="1">
        <v>6.3075000000000006E-2</v>
      </c>
      <c r="J37" s="2"/>
      <c r="K37" s="2"/>
      <c r="L37" s="2"/>
      <c r="M37" s="2"/>
      <c r="N37" s="160">
        <f t="shared" si="1"/>
        <v>1.8660875479622523</v>
      </c>
      <c r="O37" s="157">
        <v>2.0425558562029851</v>
      </c>
      <c r="P37" s="161">
        <f t="shared" si="2"/>
        <v>-0.17646830824073279</v>
      </c>
      <c r="Q37" s="161">
        <f t="shared" si="3"/>
        <v>1.9599709633931317E-2</v>
      </c>
      <c r="R37" s="161">
        <f t="shared" si="4"/>
        <v>1.9599709633931317E-2</v>
      </c>
      <c r="S37" s="161">
        <f t="shared" si="5"/>
        <v>1.9599709633931317E-2</v>
      </c>
      <c r="T37" s="157">
        <v>2.71</v>
      </c>
      <c r="U37" s="161">
        <f t="shared" si="6"/>
        <v>-0.84391245203774767</v>
      </c>
      <c r="V37" s="157">
        <v>2.149272220501703</v>
      </c>
      <c r="W37" s="161">
        <f t="shared" si="9"/>
        <v>-0.28318467253945068</v>
      </c>
      <c r="X37" s="157">
        <v>1.8660875479622523</v>
      </c>
      <c r="Y37" s="161">
        <f t="shared" si="10"/>
        <v>0</v>
      </c>
    </row>
    <row r="38" spans="1:25" ht="18" customHeight="1" x14ac:dyDescent="0.25">
      <c r="A38" s="159">
        <f t="shared" si="7"/>
        <v>33</v>
      </c>
      <c r="B38" s="4" t="s">
        <v>33</v>
      </c>
      <c r="C38">
        <v>1.59</v>
      </c>
      <c r="D38" s="1">
        <v>-1.49E-2</v>
      </c>
      <c r="E38" s="1">
        <f t="shared" si="8"/>
        <v>1.5751000000000002</v>
      </c>
      <c r="F38" s="7">
        <v>3.5700000000000003E-2</v>
      </c>
      <c r="G38" s="160">
        <f t="shared" ref="G38:G54" si="11">E38/((100%-F38))</f>
        <v>1.6334128383283211</v>
      </c>
      <c r="H38" s="5">
        <v>0.15</v>
      </c>
      <c r="I38" s="1">
        <v>6.3075000000000006E-2</v>
      </c>
      <c r="J38" s="2"/>
      <c r="K38" s="2"/>
      <c r="L38" s="2"/>
      <c r="M38" s="2"/>
      <c r="N38" s="160">
        <f t="shared" ref="N38:N54" si="12">SUM(G38:M38)</f>
        <v>1.846487838328321</v>
      </c>
      <c r="O38" s="157">
        <v>3.6159989407955537</v>
      </c>
      <c r="P38" s="161">
        <f t="shared" si="2"/>
        <v>-1.7695111024672328</v>
      </c>
      <c r="Q38" s="161">
        <f t="shared" si="3"/>
        <v>-6.7128192056413738E-2</v>
      </c>
      <c r="R38" s="161">
        <f t="shared" si="4"/>
        <v>-6.7128192056413738E-2</v>
      </c>
      <c r="S38" s="161">
        <f t="shared" si="5"/>
        <v>-6.7128192056413738E-2</v>
      </c>
      <c r="T38" s="157">
        <v>3.2970000000000002</v>
      </c>
      <c r="U38" s="161">
        <f t="shared" si="6"/>
        <v>-1.4505121616716792</v>
      </c>
      <c r="V38" s="157">
        <v>3.5490864044595853</v>
      </c>
      <c r="W38" s="161">
        <f t="shared" si="9"/>
        <v>-1.7025985661312644</v>
      </c>
      <c r="X38" s="157">
        <v>1.846487838328321</v>
      </c>
      <c r="Y38" s="161">
        <f t="shared" si="10"/>
        <v>0</v>
      </c>
    </row>
    <row r="39" spans="1:25" ht="18" customHeight="1" x14ac:dyDescent="0.25">
      <c r="A39" s="159">
        <f t="shared" si="7"/>
        <v>34</v>
      </c>
      <c r="B39" s="4" t="s">
        <v>95</v>
      </c>
      <c r="C39">
        <v>1.6459999999999999</v>
      </c>
      <c r="D39" s="1">
        <v>-1.5900000000000001E-2</v>
      </c>
      <c r="E39" s="1">
        <f t="shared" si="8"/>
        <v>1.6300999999999999</v>
      </c>
      <c r="F39" s="7">
        <v>3.5700000000000003E-2</v>
      </c>
      <c r="G39" s="160">
        <f t="shared" si="11"/>
        <v>1.6904490303847348</v>
      </c>
      <c r="H39" s="5">
        <v>0.15</v>
      </c>
      <c r="I39" s="1">
        <v>7.3166999999999982E-2</v>
      </c>
      <c r="J39" s="2"/>
      <c r="K39" s="2"/>
      <c r="L39" s="2"/>
      <c r="M39" s="2"/>
      <c r="N39" s="160">
        <f t="shared" si="12"/>
        <v>1.9136160303847347</v>
      </c>
      <c r="O39" s="157">
        <v>3.7038662678303229</v>
      </c>
      <c r="P39" s="161">
        <f t="shared" si="2"/>
        <v>-1.7902502374455882</v>
      </c>
      <c r="Q39" s="161">
        <f t="shared" si="3"/>
        <v>-0.16561242548999267</v>
      </c>
      <c r="R39" s="161">
        <f t="shared" si="4"/>
        <v>-0.16561242548999267</v>
      </c>
      <c r="S39" s="161">
        <f t="shared" si="5"/>
        <v>-0.16561242548999267</v>
      </c>
      <c r="T39" s="157">
        <v>2.5880000000000001</v>
      </c>
      <c r="U39" s="161">
        <f t="shared" si="6"/>
        <v>-0.67438396961526537</v>
      </c>
      <c r="V39" s="157">
        <v>1.623825745844947</v>
      </c>
      <c r="W39" s="161">
        <f t="shared" si="9"/>
        <v>0.28979028453978772</v>
      </c>
      <c r="X39" s="157">
        <v>1.9136160303847347</v>
      </c>
      <c r="Y39" s="161">
        <f t="shared" si="10"/>
        <v>0</v>
      </c>
    </row>
    <row r="40" spans="1:25" ht="18" customHeight="1" x14ac:dyDescent="0.25">
      <c r="A40" s="159">
        <f t="shared" si="7"/>
        <v>35</v>
      </c>
      <c r="B40" s="4" t="s">
        <v>160</v>
      </c>
      <c r="C40" s="1">
        <v>2.0049999999999999</v>
      </c>
      <c r="D40" s="15"/>
      <c r="E40" s="1">
        <f t="shared" si="8"/>
        <v>2.0049999999999999</v>
      </c>
      <c r="F40" s="7">
        <v>3.5700000000000003E-2</v>
      </c>
      <c r="G40" s="160">
        <f t="shared" si="11"/>
        <v>2.0792284558747274</v>
      </c>
      <c r="H40" s="2"/>
      <c r="I40" s="1">
        <v>0</v>
      </c>
      <c r="J40" s="2"/>
      <c r="K40" s="2"/>
      <c r="L40" s="2"/>
      <c r="M40" s="2"/>
      <c r="N40" s="160">
        <f t="shared" si="12"/>
        <v>2.0792284558747274</v>
      </c>
      <c r="O40" s="157">
        <v>3.5840425539970746</v>
      </c>
      <c r="P40" s="161">
        <f t="shared" si="2"/>
        <v>-1.5048140981223472</v>
      </c>
      <c r="Q40" s="161">
        <f t="shared" si="3"/>
        <v>-8.2961733900238865E-2</v>
      </c>
      <c r="R40" s="161">
        <f t="shared" si="4"/>
        <v>-8.2961733900238865E-2</v>
      </c>
      <c r="S40" s="161">
        <f t="shared" si="5"/>
        <v>-8.2961733900238865E-2</v>
      </c>
      <c r="T40" s="157">
        <v>2.1061376156324707</v>
      </c>
      <c r="U40" s="161">
        <f t="shared" si="6"/>
        <v>-2.6909159757743328E-2</v>
      </c>
      <c r="V40" s="157">
        <v>1.6062764529782183</v>
      </c>
      <c r="W40" s="161">
        <f t="shared" si="9"/>
        <v>0.47295200289650907</v>
      </c>
      <c r="X40" s="157">
        <v>2.0792284558747274</v>
      </c>
      <c r="Y40" s="161">
        <f t="shared" si="10"/>
        <v>0</v>
      </c>
    </row>
    <row r="41" spans="1:25" ht="18" customHeight="1" x14ac:dyDescent="0.25">
      <c r="A41" s="159">
        <f t="shared" si="7"/>
        <v>36</v>
      </c>
      <c r="B41" s="4" t="s">
        <v>154</v>
      </c>
      <c r="C41" s="15">
        <v>2.085</v>
      </c>
      <c r="D41" s="15"/>
      <c r="E41" s="1">
        <f t="shared" si="8"/>
        <v>2.085</v>
      </c>
      <c r="F41" s="7">
        <v>3.5700000000000003E-2</v>
      </c>
      <c r="G41" s="160">
        <f t="shared" si="11"/>
        <v>2.1621901897749662</v>
      </c>
      <c r="H41" s="2"/>
      <c r="I41" s="1">
        <v>0</v>
      </c>
      <c r="J41" s="2"/>
      <c r="K41" s="2"/>
      <c r="L41" s="2"/>
      <c r="M41" s="2"/>
      <c r="N41" s="160">
        <f t="shared" si="12"/>
        <v>2.1621901897749662</v>
      </c>
      <c r="O41" s="157">
        <v>3.7238267627899022</v>
      </c>
      <c r="P41" s="161">
        <f t="shared" si="2"/>
        <v>-1.561636573014936</v>
      </c>
      <c r="Q41" s="161">
        <f t="shared" si="3"/>
        <v>3.6295758581354587E-2</v>
      </c>
      <c r="R41" s="161">
        <f t="shared" si="4"/>
        <v>3.6295758581354587E-2</v>
      </c>
      <c r="S41" s="161">
        <f t="shared" si="5"/>
        <v>3.6295758581354587E-2</v>
      </c>
      <c r="T41" s="157">
        <v>2.0333697120881404</v>
      </c>
      <c r="U41" s="161">
        <f t="shared" si="6"/>
        <v>0.12882047768682581</v>
      </c>
      <c r="V41" s="157">
        <v>1.5856302260761845</v>
      </c>
      <c r="W41" s="161">
        <f t="shared" si="9"/>
        <v>0.57655996369878171</v>
      </c>
      <c r="X41" s="157">
        <v>2.1621901897749662</v>
      </c>
      <c r="Y41" s="161">
        <f t="shared" si="10"/>
        <v>0</v>
      </c>
    </row>
    <row r="42" spans="1:25" ht="18" customHeight="1" x14ac:dyDescent="0.25">
      <c r="A42" s="159">
        <f t="shared" si="7"/>
        <v>37</v>
      </c>
      <c r="B42" s="4" t="s">
        <v>157</v>
      </c>
      <c r="C42" s="15">
        <v>2.0499999999999998</v>
      </c>
      <c r="D42" s="15"/>
      <c r="E42" s="1">
        <f t="shared" si="8"/>
        <v>2.0499999999999998</v>
      </c>
      <c r="F42" s="7">
        <v>3.5700000000000003E-2</v>
      </c>
      <c r="G42" s="160">
        <f t="shared" si="11"/>
        <v>2.1258944311936117</v>
      </c>
      <c r="H42" s="2"/>
      <c r="I42" s="1">
        <v>0</v>
      </c>
      <c r="J42" s="2"/>
      <c r="K42" s="2"/>
      <c r="L42" s="2"/>
      <c r="M42" s="2"/>
      <c r="N42" s="160">
        <f t="shared" si="12"/>
        <v>2.1258944311936117</v>
      </c>
      <c r="O42" s="157">
        <v>0</v>
      </c>
      <c r="P42" s="161">
        <f t="shared" si="2"/>
        <v>2.1258944311936117</v>
      </c>
      <c r="Q42" s="161">
        <f>N42-N44</f>
        <v>-0.74976667012340581</v>
      </c>
      <c r="R42" s="161">
        <f t="shared" si="4"/>
        <v>-2.561443534169864</v>
      </c>
      <c r="S42" s="161">
        <f t="shared" si="5"/>
        <v>-2.561443534169864</v>
      </c>
      <c r="T42" s="157">
        <v>2.0228822367737243</v>
      </c>
      <c r="U42" s="161">
        <f t="shared" si="6"/>
        <v>0.1030121944198874</v>
      </c>
      <c r="V42" s="157">
        <v>1.5206978424692887</v>
      </c>
      <c r="W42" s="161">
        <f t="shared" si="9"/>
        <v>0.60519658872432291</v>
      </c>
      <c r="X42" s="157">
        <v>2.1258944311936117</v>
      </c>
      <c r="Y42" s="161">
        <f t="shared" si="10"/>
        <v>0</v>
      </c>
    </row>
    <row r="43" spans="1:25" ht="18" customHeight="1" x14ac:dyDescent="0.25">
      <c r="A43" s="159">
        <f t="shared" si="7"/>
        <v>38</v>
      </c>
      <c r="B43" s="4" t="s">
        <v>146</v>
      </c>
      <c r="C43" s="1">
        <v>4.5199999999999996</v>
      </c>
      <c r="D43" s="1"/>
      <c r="E43" s="1">
        <f t="shared" si="8"/>
        <v>4.5199999999999996</v>
      </c>
      <c r="F43" s="7">
        <v>3.5700000000000003E-2</v>
      </c>
      <c r="G43" s="160">
        <f t="shared" si="11"/>
        <v>4.6873379653634757</v>
      </c>
      <c r="H43" s="2"/>
      <c r="I43" s="1">
        <v>0</v>
      </c>
      <c r="J43" s="2"/>
      <c r="K43" s="2"/>
      <c r="L43" s="2"/>
      <c r="M43" s="2"/>
      <c r="N43" s="160">
        <f t="shared" si="12"/>
        <v>4.6873379653634757</v>
      </c>
      <c r="P43" s="161"/>
      <c r="Q43" s="161"/>
      <c r="R43" s="161">
        <f t="shared" si="4"/>
        <v>1.8116768640464582</v>
      </c>
      <c r="S43" s="161">
        <f t="shared" si="5"/>
        <v>1.8116768640464582</v>
      </c>
      <c r="T43" s="157">
        <v>1.9928333853029829</v>
      </c>
      <c r="U43" s="161">
        <f t="shared" si="6"/>
        <v>2.6945045800604928</v>
      </c>
      <c r="V43" s="157">
        <v>4.76981755961598</v>
      </c>
      <c r="W43" s="161">
        <f t="shared" si="9"/>
        <v>-8.2479594252504285E-2</v>
      </c>
      <c r="X43" s="157">
        <v>4.6873379653634757</v>
      </c>
      <c r="Y43" s="161">
        <f t="shared" si="10"/>
        <v>0</v>
      </c>
    </row>
    <row r="44" spans="1:25" ht="18" customHeight="1" x14ac:dyDescent="0.25">
      <c r="A44" s="159">
        <f t="shared" si="7"/>
        <v>39</v>
      </c>
      <c r="B44" s="4" t="s">
        <v>168</v>
      </c>
      <c r="C44" s="1">
        <v>2.7730000000000001</v>
      </c>
      <c r="D44" s="1"/>
      <c r="E44" s="1">
        <f t="shared" si="8"/>
        <v>2.7730000000000001</v>
      </c>
      <c r="F44" s="7">
        <v>3.5700000000000003E-2</v>
      </c>
      <c r="G44" s="160">
        <f t="shared" si="11"/>
        <v>2.8756611013170175</v>
      </c>
      <c r="H44" s="2"/>
      <c r="I44" s="1">
        <v>0</v>
      </c>
      <c r="J44" s="2"/>
      <c r="K44" s="2"/>
      <c r="L44" s="2"/>
      <c r="M44" s="2"/>
      <c r="N44" s="160">
        <f t="shared" si="12"/>
        <v>2.8756611013170175</v>
      </c>
      <c r="O44" s="157">
        <v>4.16411350973328</v>
      </c>
      <c r="P44" s="161">
        <f t="shared" si="2"/>
        <v>-1.2884524084162625</v>
      </c>
      <c r="Q44" s="161">
        <f>N44-N43</f>
        <v>-1.8116768640464582</v>
      </c>
      <c r="R44" s="161">
        <f t="shared" si="4"/>
        <v>1.231981748418542</v>
      </c>
      <c r="S44" s="161">
        <f t="shared" si="5"/>
        <v>1.231981748418542</v>
      </c>
      <c r="T44" s="157">
        <v>2.0146710321172434</v>
      </c>
      <c r="U44" s="161">
        <f t="shared" si="6"/>
        <v>0.86099006919977406</v>
      </c>
      <c r="V44" s="157">
        <v>5.3731805512542588</v>
      </c>
      <c r="W44" s="161">
        <f t="shared" si="9"/>
        <v>-2.4975194499372413</v>
      </c>
      <c r="X44" s="157">
        <v>2.8756611013170175</v>
      </c>
      <c r="Y44" s="161">
        <f t="shared" si="10"/>
        <v>0</v>
      </c>
    </row>
    <row r="45" spans="1:25" ht="18" customHeight="1" x14ac:dyDescent="0.25">
      <c r="A45" s="159">
        <f t="shared" si="7"/>
        <v>40</v>
      </c>
      <c r="B45" s="4" t="s">
        <v>129</v>
      </c>
      <c r="C45">
        <v>1.585</v>
      </c>
      <c r="D45" s="1"/>
      <c r="E45" s="1">
        <f t="shared" si="8"/>
        <v>1.585</v>
      </c>
      <c r="F45" s="7">
        <v>3.5700000000000003E-2</v>
      </c>
      <c r="G45" s="160">
        <f t="shared" si="11"/>
        <v>1.6436793528984754</v>
      </c>
      <c r="H45" s="2"/>
      <c r="I45" s="1">
        <v>0</v>
      </c>
      <c r="J45" s="2"/>
      <c r="K45" s="2"/>
      <c r="L45" s="2"/>
      <c r="M45" s="2"/>
      <c r="N45" s="160">
        <f t="shared" si="12"/>
        <v>1.6436793528984754</v>
      </c>
      <c r="O45" s="157">
        <v>1.3621613641912027</v>
      </c>
      <c r="P45" s="161">
        <f t="shared" si="2"/>
        <v>0.28151798870727274</v>
      </c>
      <c r="Q45" s="161">
        <f t="shared" si="3"/>
        <v>4.1480866950118767E-3</v>
      </c>
      <c r="R45" s="161">
        <f t="shared" si="4"/>
        <v>4.1480866950118767E-3</v>
      </c>
      <c r="S45" s="161">
        <f t="shared" si="5"/>
        <v>4.1480866950118767E-3</v>
      </c>
      <c r="T45" s="157">
        <v>2.090219311921838</v>
      </c>
      <c r="U45" s="161">
        <f t="shared" si="6"/>
        <v>-0.44653995902336252</v>
      </c>
      <c r="V45" s="157">
        <v>5.419634561783834</v>
      </c>
      <c r="W45" s="161">
        <f t="shared" si="9"/>
        <v>-3.7759552088853585</v>
      </c>
      <c r="X45" s="157">
        <v>1.6436793528984754</v>
      </c>
      <c r="Y45" s="161">
        <f t="shared" si="10"/>
        <v>0</v>
      </c>
    </row>
    <row r="46" spans="1:25" ht="18" customHeight="1" x14ac:dyDescent="0.25">
      <c r="A46" s="159">
        <f t="shared" si="7"/>
        <v>41</v>
      </c>
      <c r="B46" s="4" t="s">
        <v>130</v>
      </c>
      <c r="C46">
        <v>1.581</v>
      </c>
      <c r="D46" s="1"/>
      <c r="E46" s="1">
        <f t="shared" si="8"/>
        <v>1.581</v>
      </c>
      <c r="F46" s="7">
        <v>3.5700000000000003E-2</v>
      </c>
      <c r="G46" s="160">
        <f t="shared" si="11"/>
        <v>1.6395312662034636</v>
      </c>
      <c r="H46" s="2"/>
      <c r="I46" s="1">
        <v>0</v>
      </c>
      <c r="J46" s="2"/>
      <c r="K46" s="2"/>
      <c r="L46" s="2"/>
      <c r="M46" s="2"/>
      <c r="N46" s="160">
        <f t="shared" si="12"/>
        <v>1.6395312662034636</v>
      </c>
      <c r="O46" s="157">
        <v>1.3455369692048875</v>
      </c>
      <c r="P46" s="161">
        <f t="shared" si="2"/>
        <v>0.29399429699857604</v>
      </c>
      <c r="Q46" s="161">
        <f>N46-N51</f>
        <v>-2.2140412734626156</v>
      </c>
      <c r="R46" s="161">
        <f>N46-N51</f>
        <v>-2.2140412734626156</v>
      </c>
      <c r="S46" s="161">
        <f>N46-N51</f>
        <v>-2.2140412734626156</v>
      </c>
      <c r="T46" s="157">
        <v>2.1619374285417319</v>
      </c>
      <c r="U46" s="161">
        <f t="shared" si="6"/>
        <v>-0.52240616233826831</v>
      </c>
      <c r="V46" s="157">
        <v>5.3731805512542588</v>
      </c>
      <c r="W46" s="161">
        <f t="shared" si="9"/>
        <v>-3.7336492850507952</v>
      </c>
      <c r="X46" s="157">
        <v>1.6395312662034636</v>
      </c>
      <c r="Y46" s="161">
        <f t="shared" si="10"/>
        <v>0</v>
      </c>
    </row>
    <row r="47" spans="1:25" ht="18" customHeight="1" x14ac:dyDescent="0.25">
      <c r="A47" s="159">
        <f t="shared" si="7"/>
        <v>42</v>
      </c>
      <c r="B47" s="4" t="s">
        <v>131</v>
      </c>
      <c r="C47">
        <v>1.5609999999999999</v>
      </c>
      <c r="D47" s="1"/>
      <c r="E47" s="1">
        <f t="shared" si="8"/>
        <v>1.5609999999999999</v>
      </c>
      <c r="F47" s="7">
        <v>3.5700000000000003E-2</v>
      </c>
      <c r="G47" s="160">
        <f t="shared" si="11"/>
        <v>1.618790832728404</v>
      </c>
      <c r="H47" s="2"/>
      <c r="I47" s="1">
        <v>0</v>
      </c>
      <c r="J47" s="2"/>
      <c r="K47" s="2"/>
      <c r="L47" s="2"/>
      <c r="M47" s="2"/>
      <c r="N47" s="160">
        <f t="shared" si="12"/>
        <v>1.618790832728404</v>
      </c>
      <c r="P47" s="161"/>
      <c r="Q47" s="161"/>
      <c r="R47" s="161"/>
      <c r="S47" s="161"/>
      <c r="U47" s="161"/>
      <c r="W47" s="161"/>
      <c r="X47" s="157">
        <v>1.618790832728404</v>
      </c>
      <c r="Y47" s="161">
        <f t="shared" si="10"/>
        <v>0</v>
      </c>
    </row>
    <row r="48" spans="1:25" ht="18" customHeight="1" x14ac:dyDescent="0.25">
      <c r="A48" s="159">
        <f t="shared" si="7"/>
        <v>43</v>
      </c>
      <c r="B48" s="4" t="s">
        <v>132</v>
      </c>
      <c r="C48">
        <v>1.512</v>
      </c>
      <c r="D48" s="1"/>
      <c r="E48" s="1">
        <f t="shared" si="8"/>
        <v>1.512</v>
      </c>
      <c r="F48" s="7">
        <v>3.5700000000000003E-2</v>
      </c>
      <c r="G48" s="160">
        <f t="shared" si="11"/>
        <v>1.5679767707145078</v>
      </c>
      <c r="H48" s="2"/>
      <c r="I48" s="1">
        <v>0</v>
      </c>
      <c r="J48" s="2"/>
      <c r="K48" s="2"/>
      <c r="L48" s="2"/>
      <c r="M48" s="2"/>
      <c r="N48" s="160">
        <f t="shared" si="12"/>
        <v>1.5679767707145078</v>
      </c>
      <c r="P48" s="161"/>
      <c r="Q48" s="161"/>
      <c r="R48" s="161"/>
      <c r="S48" s="161"/>
      <c r="U48" s="161"/>
      <c r="W48" s="161"/>
      <c r="X48" s="157">
        <v>1.5679767707145078</v>
      </c>
      <c r="Y48" s="161">
        <f t="shared" si="10"/>
        <v>0</v>
      </c>
    </row>
    <row r="49" spans="1:25" ht="17.25" customHeight="1" x14ac:dyDescent="0.25">
      <c r="A49" s="159">
        <f t="shared" si="7"/>
        <v>44</v>
      </c>
      <c r="B49" s="4" t="s">
        <v>245</v>
      </c>
      <c r="C49">
        <v>3.444</v>
      </c>
      <c r="D49" s="1"/>
      <c r="E49" s="1">
        <f t="shared" si="8"/>
        <v>3.444</v>
      </c>
      <c r="F49" s="7">
        <v>3.5700000000000003E-2</v>
      </c>
      <c r="G49" s="160">
        <f t="shared" si="11"/>
        <v>3.571502644405268</v>
      </c>
      <c r="H49" s="2"/>
      <c r="I49" s="1">
        <v>0</v>
      </c>
      <c r="J49" s="1"/>
      <c r="K49" s="1">
        <v>0.2465</v>
      </c>
      <c r="L49" s="2"/>
      <c r="M49" s="159"/>
      <c r="N49" s="160">
        <f t="shared" si="12"/>
        <v>3.8180026444052682</v>
      </c>
      <c r="P49" s="161"/>
      <c r="Q49" s="161"/>
      <c r="R49" s="161"/>
      <c r="S49" s="161"/>
      <c r="U49" s="161"/>
      <c r="W49" s="161"/>
      <c r="X49" s="157">
        <v>3.8180026444052682</v>
      </c>
      <c r="Y49" s="161">
        <f t="shared" si="10"/>
        <v>0</v>
      </c>
    </row>
    <row r="50" spans="1:25" ht="17.25" customHeight="1" x14ac:dyDescent="0.25">
      <c r="A50" s="159">
        <f t="shared" si="7"/>
        <v>45</v>
      </c>
      <c r="B50" s="4" t="s">
        <v>134</v>
      </c>
      <c r="C50">
        <v>4.2110000000000003</v>
      </c>
      <c r="D50" s="1"/>
      <c r="E50" s="1">
        <f t="shared" si="8"/>
        <v>4.2110000000000003</v>
      </c>
      <c r="F50" s="7">
        <v>3.5700000000000003E-2</v>
      </c>
      <c r="G50" s="160">
        <f t="shared" si="11"/>
        <v>4.3668982681738049</v>
      </c>
      <c r="H50" s="2"/>
      <c r="I50" s="1">
        <v>0</v>
      </c>
      <c r="J50" s="2"/>
      <c r="K50" s="2"/>
      <c r="L50" s="2"/>
      <c r="M50" s="2"/>
      <c r="N50" s="160">
        <f t="shared" si="12"/>
        <v>4.3668982681738049</v>
      </c>
      <c r="P50" s="161"/>
      <c r="Q50" s="161"/>
      <c r="R50" s="161"/>
      <c r="S50" s="161"/>
      <c r="U50" s="161"/>
      <c r="W50" s="161"/>
      <c r="X50" s="157">
        <v>4.3668982681738049</v>
      </c>
      <c r="Y50" s="161">
        <f t="shared" si="10"/>
        <v>0</v>
      </c>
    </row>
    <row r="51" spans="1:25" ht="17.25" customHeight="1" x14ac:dyDescent="0.25">
      <c r="A51" s="159">
        <f t="shared" si="7"/>
        <v>46</v>
      </c>
      <c r="B51" s="4" t="s">
        <v>135</v>
      </c>
      <c r="C51">
        <v>3.7160000000000002</v>
      </c>
      <c r="D51" s="1"/>
      <c r="E51" s="1">
        <f t="shared" si="8"/>
        <v>3.7160000000000002</v>
      </c>
      <c r="F51" s="7">
        <v>3.5700000000000003E-2</v>
      </c>
      <c r="G51" s="160">
        <f t="shared" si="11"/>
        <v>3.8535725396660792</v>
      </c>
      <c r="H51" s="2"/>
      <c r="I51" s="1">
        <v>0</v>
      </c>
      <c r="J51" s="2"/>
      <c r="K51" s="2"/>
      <c r="L51" s="2"/>
      <c r="M51" s="159"/>
      <c r="N51" s="160">
        <f t="shared" si="12"/>
        <v>3.8535725396660792</v>
      </c>
      <c r="O51" s="157">
        <v>1.3995662529104123</v>
      </c>
      <c r="P51" s="161">
        <f t="shared" si="2"/>
        <v>2.4540062867556669</v>
      </c>
      <c r="Q51" s="161" t="e">
        <f>N51-#REF!</f>
        <v>#REF!</v>
      </c>
      <c r="R51" s="161" t="e">
        <f>N51-#REF!</f>
        <v>#REF!</v>
      </c>
      <c r="S51" s="161" t="e">
        <f>N51-#REF!</f>
        <v>#REF!</v>
      </c>
      <c r="T51" s="157">
        <v>3.4985968194574371</v>
      </c>
      <c r="U51" s="161">
        <f t="shared" si="6"/>
        <v>0.3549757202086421</v>
      </c>
      <c r="V51" s="157">
        <v>5.0645194590688547</v>
      </c>
      <c r="W51" s="161">
        <f t="shared" si="9"/>
        <v>-1.2109469194027755</v>
      </c>
      <c r="X51" s="157">
        <v>3.8535725396660792</v>
      </c>
      <c r="Y51" s="161">
        <f t="shared" si="10"/>
        <v>0</v>
      </c>
    </row>
    <row r="52" spans="1:25" ht="17.25" customHeight="1" x14ac:dyDescent="0.25">
      <c r="A52" s="159">
        <f t="shared" si="7"/>
        <v>47</v>
      </c>
      <c r="B52" s="4" t="s">
        <v>133</v>
      </c>
      <c r="C52">
        <v>4.16</v>
      </c>
      <c r="D52" s="1"/>
      <c r="E52" s="1">
        <f t="shared" si="8"/>
        <v>4.16</v>
      </c>
      <c r="F52" s="7">
        <v>3.5700000000000003E-2</v>
      </c>
      <c r="G52" s="160">
        <f t="shared" si="11"/>
        <v>4.3140101628124023</v>
      </c>
      <c r="H52" s="2"/>
      <c r="I52" s="1">
        <v>0</v>
      </c>
      <c r="J52" s="2"/>
      <c r="K52" s="2"/>
      <c r="L52" s="2"/>
      <c r="M52" s="2"/>
      <c r="N52" s="160">
        <f t="shared" si="12"/>
        <v>4.3140101628124023</v>
      </c>
      <c r="P52" s="161"/>
      <c r="Q52" s="161"/>
      <c r="R52" s="161"/>
      <c r="S52" s="161"/>
      <c r="U52" s="161"/>
      <c r="W52" s="161"/>
      <c r="X52" s="157">
        <v>4.3140101628124023</v>
      </c>
      <c r="Y52" s="161">
        <f t="shared" si="10"/>
        <v>0</v>
      </c>
    </row>
    <row r="53" spans="1:25" ht="17.25" customHeight="1" x14ac:dyDescent="0.25">
      <c r="A53" s="159">
        <f t="shared" si="7"/>
        <v>48</v>
      </c>
      <c r="B53" s="4" t="s">
        <v>153</v>
      </c>
      <c r="C53">
        <v>3.9910000000000001</v>
      </c>
      <c r="D53" s="1"/>
      <c r="E53" s="1">
        <f t="shared" si="8"/>
        <v>3.9910000000000001</v>
      </c>
      <c r="F53" s="7">
        <v>3.5700000000000003E-2</v>
      </c>
      <c r="G53" s="160">
        <f t="shared" si="11"/>
        <v>4.138753499948149</v>
      </c>
      <c r="H53" s="2"/>
      <c r="I53" s="1">
        <v>0</v>
      </c>
      <c r="J53" s="2"/>
      <c r="K53" s="2"/>
      <c r="L53" s="2"/>
      <c r="M53" s="2"/>
      <c r="N53" s="160">
        <f t="shared" si="12"/>
        <v>4.138753499948149</v>
      </c>
      <c r="P53" s="161"/>
      <c r="Q53" s="161"/>
      <c r="R53" s="161"/>
      <c r="S53" s="161"/>
      <c r="U53" s="161"/>
      <c r="W53" s="161"/>
      <c r="X53" s="157">
        <v>4.138753499948149</v>
      </c>
      <c r="Y53" s="161">
        <f t="shared" si="10"/>
        <v>0</v>
      </c>
    </row>
    <row r="54" spans="1:25" ht="17.25" customHeight="1" x14ac:dyDescent="0.25">
      <c r="A54" s="159">
        <f t="shared" si="7"/>
        <v>49</v>
      </c>
      <c r="B54" s="4" t="s">
        <v>150</v>
      </c>
      <c r="C54" s="1">
        <v>5.476</v>
      </c>
      <c r="D54" s="1"/>
      <c r="E54" s="1">
        <f t="shared" si="8"/>
        <v>5.476</v>
      </c>
      <c r="F54" s="7">
        <v>3.5700000000000003E-2</v>
      </c>
      <c r="G54" s="160">
        <f t="shared" si="11"/>
        <v>5.6787306854713258</v>
      </c>
      <c r="H54" s="5"/>
      <c r="I54" s="1">
        <v>0</v>
      </c>
      <c r="J54" s="2"/>
      <c r="K54" s="2"/>
      <c r="L54" s="2"/>
      <c r="M54" s="2"/>
      <c r="N54" s="160">
        <f t="shared" si="12"/>
        <v>5.6787306854713258</v>
      </c>
      <c r="P54" s="161"/>
      <c r="Q54" s="161"/>
      <c r="R54" s="161"/>
      <c r="S54" s="161"/>
      <c r="U54" s="161"/>
      <c r="W54" s="161"/>
      <c r="Y54" s="161"/>
    </row>
    <row r="1048560" spans="1:13" x14ac:dyDescent="0.25">
      <c r="A1048560" s="159"/>
      <c r="M1048560" s="2"/>
    </row>
  </sheetData>
  <sheetProtection selectLockedCells="1"/>
  <autoFilter ref="A5:N51"/>
  <sortState ref="B6:N52">
    <sortCondition descending="1" ref="N6:N52"/>
  </sortState>
  <mergeCells count="15">
    <mergeCell ref="A1:N1"/>
    <mergeCell ref="A2:A4"/>
    <mergeCell ref="B2:B4"/>
    <mergeCell ref="C2:C4"/>
    <mergeCell ref="D2:D4"/>
    <mergeCell ref="E2:E4"/>
    <mergeCell ref="F2:F4"/>
    <mergeCell ref="G2:G3"/>
    <mergeCell ref="H2:H4"/>
    <mergeCell ref="I2:I4"/>
    <mergeCell ref="J2:J4"/>
    <mergeCell ref="K2:K4"/>
    <mergeCell ref="L2:L4"/>
    <mergeCell ref="M2:M4"/>
    <mergeCell ref="N2:N4"/>
  </mergeCells>
  <printOptions horizontalCentered="1"/>
  <pageMargins left="0.15748031496062992" right="0.11811023622047245" top="0.11811023622047245" bottom="0.15748031496062992" header="0" footer="0"/>
  <pageSetup paperSize="9" scale="6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2:F60"/>
  <sheetViews>
    <sheetView view="pageBreakPreview" zoomScaleSheetLayoutView="100" workbookViewId="0">
      <selection activeCell="D13" sqref="D13"/>
    </sheetView>
  </sheetViews>
  <sheetFormatPr defaultColWidth="9.140625" defaultRowHeight="15" x14ac:dyDescent="0.25"/>
  <cols>
    <col min="1" max="1" width="9.140625" style="130"/>
    <col min="2" max="2" width="35.85546875" style="130" customWidth="1"/>
    <col min="3" max="3" width="15.85546875" style="130" customWidth="1"/>
    <col min="4" max="4" width="17.28515625" style="130" customWidth="1"/>
    <col min="5" max="5" width="14.5703125" style="194" customWidth="1"/>
    <col min="6" max="16384" width="9.140625" style="130"/>
  </cols>
  <sheetData>
    <row r="2" spans="1:6" x14ac:dyDescent="0.25">
      <c r="A2" s="129"/>
      <c r="B2" s="129"/>
      <c r="C2" s="129"/>
    </row>
    <row r="3" spans="1:6" ht="31.5" customHeight="1" x14ac:dyDescent="0.25">
      <c r="A3" s="268" t="s">
        <v>329</v>
      </c>
      <c r="B3" s="269"/>
      <c r="C3" s="269"/>
      <c r="D3" s="269"/>
      <c r="E3" s="269"/>
      <c r="F3" s="269"/>
    </row>
    <row r="4" spans="1:6" ht="54.75" customHeight="1" x14ac:dyDescent="0.25">
      <c r="A4" s="195" t="s">
        <v>0</v>
      </c>
      <c r="B4" s="195" t="s">
        <v>1</v>
      </c>
      <c r="C4" s="195" t="s">
        <v>277</v>
      </c>
      <c r="D4" s="195" t="s">
        <v>278</v>
      </c>
      <c r="E4" s="195" t="s">
        <v>320</v>
      </c>
      <c r="F4" s="224" t="s">
        <v>309</v>
      </c>
    </row>
    <row r="5" spans="1:6" ht="16.5" customHeight="1" x14ac:dyDescent="0.25">
      <c r="A5" s="131">
        <v>1</v>
      </c>
      <c r="B5" s="13" t="s">
        <v>160</v>
      </c>
      <c r="C5" s="56">
        <f>VLOOKUP(B5,'Excl URS 3 '!$B$6:$N$61,13,FALSE)</f>
        <v>2.0977191881146684</v>
      </c>
      <c r="D5" s="56">
        <v>2.0977191881146684</v>
      </c>
      <c r="E5" s="54">
        <f>D5-C5</f>
        <v>0</v>
      </c>
      <c r="F5" s="226">
        <f>E5/C5</f>
        <v>0</v>
      </c>
    </row>
    <row r="6" spans="1:6" ht="16.5" customHeight="1" x14ac:dyDescent="0.25">
      <c r="A6" s="131">
        <f t="shared" ref="A6:A60" si="0">A5+1</f>
        <v>2</v>
      </c>
      <c r="B6" s="13" t="s">
        <v>24</v>
      </c>
      <c r="C6" s="56">
        <f>VLOOKUP(B6,'Excl URS 3 '!$B$6:$N$61,13,FALSE)</f>
        <v>1.829</v>
      </c>
      <c r="D6" s="56">
        <v>1.829</v>
      </c>
      <c r="E6" s="54">
        <f t="shared" ref="E6:E60" si="1">D6-C6</f>
        <v>0</v>
      </c>
      <c r="F6" s="226">
        <f t="shared" ref="F6:F60" si="2">E6/C6</f>
        <v>0</v>
      </c>
    </row>
    <row r="7" spans="1:6" ht="16.5" customHeight="1" x14ac:dyDescent="0.25">
      <c r="A7" s="131">
        <f t="shared" si="0"/>
        <v>3</v>
      </c>
      <c r="B7" s="13" t="s">
        <v>154</v>
      </c>
      <c r="C7" s="56">
        <f>VLOOKUP(B7,'Excl URS 3 '!$B$6:$N$61,13,FALSE)</f>
        <v>2.1814187068424356</v>
      </c>
      <c r="D7" s="56">
        <v>2.1814187068424356</v>
      </c>
      <c r="E7" s="54">
        <f t="shared" si="1"/>
        <v>0</v>
      </c>
      <c r="F7" s="226">
        <f t="shared" si="2"/>
        <v>0</v>
      </c>
    </row>
    <row r="8" spans="1:6" ht="16.5" customHeight="1" x14ac:dyDescent="0.25">
      <c r="A8" s="131">
        <f t="shared" si="0"/>
        <v>4</v>
      </c>
      <c r="B8" s="13" t="s">
        <v>279</v>
      </c>
      <c r="C8" s="56">
        <f>VLOOKUP(B8,'Excl URS 3 '!$B$6:$N$61,13,FALSE)</f>
        <v>3.9820099999999998</v>
      </c>
      <c r="D8" s="56">
        <v>3.9820099999999998</v>
      </c>
      <c r="E8" s="54">
        <f t="shared" si="1"/>
        <v>0</v>
      </c>
      <c r="F8" s="226">
        <f t="shared" si="2"/>
        <v>0</v>
      </c>
    </row>
    <row r="9" spans="1:6" ht="16.5" customHeight="1" x14ac:dyDescent="0.25">
      <c r="A9" s="131">
        <f t="shared" si="0"/>
        <v>5</v>
      </c>
      <c r="B9" s="13" t="s">
        <v>157</v>
      </c>
      <c r="C9" s="56">
        <f>VLOOKUP(B9,'Excl URS 3 '!$B$6:$N$61,13,FALSE)</f>
        <v>2.1448001673990373</v>
      </c>
      <c r="D9" s="56">
        <v>2.1448001673990373</v>
      </c>
      <c r="E9" s="54">
        <f t="shared" si="1"/>
        <v>0</v>
      </c>
      <c r="F9" s="226">
        <f t="shared" si="2"/>
        <v>0</v>
      </c>
    </row>
    <row r="10" spans="1:6" ht="16.5" customHeight="1" x14ac:dyDescent="0.25">
      <c r="A10" s="131">
        <f t="shared" si="0"/>
        <v>6</v>
      </c>
      <c r="B10" s="13" t="s">
        <v>188</v>
      </c>
      <c r="C10" s="56">
        <f>VLOOKUP(B10,'Excl URS 3 '!$B$6:$N$61,13,FALSE)</f>
        <v>3.4702929483155471</v>
      </c>
      <c r="D10" s="56">
        <v>3.4702929483155471</v>
      </c>
      <c r="E10" s="54">
        <f t="shared" si="1"/>
        <v>0</v>
      </c>
      <c r="F10" s="226">
        <f t="shared" si="2"/>
        <v>0</v>
      </c>
    </row>
    <row r="11" spans="1:6" ht="16.5" customHeight="1" x14ac:dyDescent="0.25">
      <c r="A11" s="131">
        <f t="shared" si="0"/>
        <v>7</v>
      </c>
      <c r="B11" s="13" t="s">
        <v>169</v>
      </c>
      <c r="C11" s="56">
        <f>VLOOKUP(B11,'Excl URS 3 '!$B$6:$N$61,13,FALSE)</f>
        <v>4.155709793889935</v>
      </c>
      <c r="D11" s="56">
        <v>4.2439999999999998</v>
      </c>
      <c r="E11" s="54">
        <f t="shared" si="1"/>
        <v>8.8290206110064773E-2</v>
      </c>
      <c r="F11" s="226">
        <f t="shared" si="2"/>
        <v>2.1245517730780015E-2</v>
      </c>
    </row>
    <row r="12" spans="1:6" ht="16.5" customHeight="1" x14ac:dyDescent="0.25">
      <c r="A12" s="131">
        <f t="shared" si="0"/>
        <v>8</v>
      </c>
      <c r="B12" s="13" t="s">
        <v>23</v>
      </c>
      <c r="C12" s="56">
        <f>VLOOKUP(B12,'Excl URS 3 '!$B$6:$N$61,13,FALSE)</f>
        <v>2.1950198786356978</v>
      </c>
      <c r="D12" s="56">
        <v>2.1950198786356978</v>
      </c>
      <c r="E12" s="54">
        <f t="shared" si="1"/>
        <v>0</v>
      </c>
      <c r="F12" s="226">
        <f t="shared" si="2"/>
        <v>0</v>
      </c>
    </row>
    <row r="13" spans="1:6" ht="16.5" customHeight="1" x14ac:dyDescent="0.25">
      <c r="A13" s="131">
        <f t="shared" si="0"/>
        <v>9</v>
      </c>
      <c r="B13" s="13" t="s">
        <v>295</v>
      </c>
      <c r="C13" s="56">
        <f>VLOOKUP(B13,'Excl URS 3 '!$B$6:$N$61,13,FALSE)</f>
        <v>3.5697844737392761</v>
      </c>
      <c r="D13" s="56">
        <v>3.5697844737392761</v>
      </c>
      <c r="E13" s="54">
        <f t="shared" si="1"/>
        <v>0</v>
      </c>
      <c r="F13" s="226">
        <f t="shared" si="2"/>
        <v>0</v>
      </c>
    </row>
    <row r="14" spans="1:6" ht="16.5" customHeight="1" x14ac:dyDescent="0.25">
      <c r="A14" s="131">
        <f t="shared" si="0"/>
        <v>10</v>
      </c>
      <c r="B14" s="13" t="s">
        <v>146</v>
      </c>
      <c r="C14" s="56">
        <f>VLOOKUP(B14,'Excl URS 3 '!$B$6:$N$61,13,FALSE)</f>
        <v>4.4477160493827164</v>
      </c>
      <c r="D14" s="56">
        <v>4.5670000000000002</v>
      </c>
      <c r="E14" s="54">
        <f t="shared" si="1"/>
        <v>0.11928395061728381</v>
      </c>
      <c r="F14" s="226">
        <f t="shared" si="2"/>
        <v>2.6819147016779281E-2</v>
      </c>
    </row>
    <row r="15" spans="1:6" ht="16.5" customHeight="1" x14ac:dyDescent="0.25">
      <c r="A15" s="131">
        <f t="shared" si="0"/>
        <v>11</v>
      </c>
      <c r="B15" s="13" t="s">
        <v>98</v>
      </c>
      <c r="C15" s="56">
        <f>VLOOKUP(B15,'Excl URS 3 '!$B$6:$N$61,13,FALSE)</f>
        <v>2.8661540071144591</v>
      </c>
      <c r="D15" s="56">
        <v>2.8661540071144591</v>
      </c>
      <c r="E15" s="54">
        <f t="shared" si="1"/>
        <v>0</v>
      </c>
      <c r="F15" s="226">
        <f t="shared" si="2"/>
        <v>0</v>
      </c>
    </row>
    <row r="16" spans="1:6" ht="16.5" customHeight="1" x14ac:dyDescent="0.25">
      <c r="A16" s="131">
        <f t="shared" si="0"/>
        <v>12</v>
      </c>
      <c r="B16" s="13" t="s">
        <v>299</v>
      </c>
      <c r="C16" s="56">
        <f>VLOOKUP(B16,'Excl URS 3 '!$B$6:$N$61,13,FALSE)</f>
        <v>2.5476041012764177</v>
      </c>
      <c r="D16" s="56">
        <v>2.5476041012764177</v>
      </c>
      <c r="E16" s="54">
        <f t="shared" si="1"/>
        <v>0</v>
      </c>
      <c r="F16" s="226">
        <f t="shared" si="2"/>
        <v>0</v>
      </c>
    </row>
    <row r="17" spans="1:6" ht="16.5" customHeight="1" x14ac:dyDescent="0.25">
      <c r="A17" s="131">
        <f t="shared" si="0"/>
        <v>13</v>
      </c>
      <c r="B17" s="13" t="s">
        <v>310</v>
      </c>
      <c r="C17" s="56">
        <f>VLOOKUP(B17,'Excl URS 3 '!$B$6:$N$61,13,FALSE)</f>
        <v>2.7850261560996024</v>
      </c>
      <c r="D17" s="56">
        <v>2.7850261560996024</v>
      </c>
      <c r="E17" s="54">
        <f t="shared" si="1"/>
        <v>0</v>
      </c>
      <c r="F17" s="226">
        <f t="shared" si="2"/>
        <v>0</v>
      </c>
    </row>
    <row r="18" spans="1:6" ht="16.5" customHeight="1" x14ac:dyDescent="0.25">
      <c r="A18" s="131">
        <f t="shared" si="0"/>
        <v>14</v>
      </c>
      <c r="B18" s="13" t="s">
        <v>57</v>
      </c>
      <c r="C18" s="56">
        <f>VLOOKUP(B18,'Excl URS 3 '!$B$6:$N$61,13,FALSE)</f>
        <v>3.59077</v>
      </c>
      <c r="D18" s="56">
        <v>3.59077</v>
      </c>
      <c r="E18" s="54">
        <f t="shared" si="1"/>
        <v>0</v>
      </c>
      <c r="F18" s="226">
        <f t="shared" si="2"/>
        <v>0</v>
      </c>
    </row>
    <row r="19" spans="1:6" ht="16.5" customHeight="1" x14ac:dyDescent="0.25">
      <c r="A19" s="131">
        <f t="shared" si="0"/>
        <v>15</v>
      </c>
      <c r="B19" s="13" t="s">
        <v>56</v>
      </c>
      <c r="C19" s="56">
        <f>VLOOKUP(B19,'Excl URS 3 '!$B$6:$N$61,13,FALSE)</f>
        <v>0.92760700878844937</v>
      </c>
      <c r="D19" s="56">
        <v>0.92900000000000005</v>
      </c>
      <c r="E19" s="54">
        <f t="shared" si="1"/>
        <v>1.392991211550676E-3</v>
      </c>
      <c r="F19" s="226">
        <f t="shared" si="2"/>
        <v>1.5017040603973728E-3</v>
      </c>
    </row>
    <row r="20" spans="1:6" ht="16.5" customHeight="1" x14ac:dyDescent="0.25">
      <c r="A20" s="131">
        <f t="shared" si="0"/>
        <v>16</v>
      </c>
      <c r="B20" s="13" t="s">
        <v>27</v>
      </c>
      <c r="C20" s="56">
        <f>VLOOKUP(B20,'Excl URS 3 '!$B$6:$N$61,13,FALSE)</f>
        <v>2.8876229336681316</v>
      </c>
      <c r="D20" s="56">
        <v>2.8876229336681316</v>
      </c>
      <c r="E20" s="54">
        <f t="shared" si="1"/>
        <v>0</v>
      </c>
      <c r="F20" s="226">
        <f t="shared" si="2"/>
        <v>0</v>
      </c>
    </row>
    <row r="21" spans="1:6" ht="16.5" customHeight="1" x14ac:dyDescent="0.25">
      <c r="A21" s="131">
        <f t="shared" si="0"/>
        <v>17</v>
      </c>
      <c r="B21" s="13" t="s">
        <v>19</v>
      </c>
      <c r="C21" s="56">
        <f>VLOOKUP(B21,'Excl URS 3 '!$B$6:$N$61,13,FALSE)</f>
        <v>1.6708516426030551</v>
      </c>
      <c r="D21" s="56">
        <v>1.6708516426030551</v>
      </c>
      <c r="E21" s="54">
        <f t="shared" si="1"/>
        <v>0</v>
      </c>
      <c r="F21" s="226">
        <f t="shared" si="2"/>
        <v>0</v>
      </c>
    </row>
    <row r="22" spans="1:6" ht="16.5" customHeight="1" x14ac:dyDescent="0.25">
      <c r="A22" s="131">
        <f t="shared" si="0"/>
        <v>18</v>
      </c>
      <c r="B22" s="13" t="s">
        <v>175</v>
      </c>
      <c r="C22" s="56">
        <f>VLOOKUP(B22,'Excl URS 3 '!$B$6:$N$61,13,FALSE)</f>
        <v>3.5897483814605566</v>
      </c>
      <c r="D22" s="56">
        <v>3.66</v>
      </c>
      <c r="E22" s="54">
        <f t="shared" si="1"/>
        <v>7.0251618539443506E-2</v>
      </c>
      <c r="F22" s="226">
        <f t="shared" si="2"/>
        <v>1.9570067613168006E-2</v>
      </c>
    </row>
    <row r="23" spans="1:6" ht="16.5" customHeight="1" x14ac:dyDescent="0.25">
      <c r="A23" s="131">
        <f t="shared" si="0"/>
        <v>19</v>
      </c>
      <c r="B23" s="13" t="s">
        <v>300</v>
      </c>
      <c r="C23" s="56">
        <f>VLOOKUP(B23,'Excl URS 3 '!$B$6:$N$61,13,FALSE)</f>
        <v>2.1165515798284162</v>
      </c>
      <c r="D23" s="56">
        <v>2.1165515798284162</v>
      </c>
      <c r="E23" s="54">
        <f t="shared" si="1"/>
        <v>0</v>
      </c>
      <c r="F23" s="226">
        <f t="shared" si="2"/>
        <v>0</v>
      </c>
    </row>
    <row r="24" spans="1:6" ht="16.5" customHeight="1" x14ac:dyDescent="0.25">
      <c r="A24" s="131">
        <f t="shared" si="0"/>
        <v>20</v>
      </c>
      <c r="B24" s="13" t="s">
        <v>306</v>
      </c>
      <c r="C24" s="56">
        <f>VLOOKUP(B24,'Excl URS 3 '!$B$6:$N$61,13,FALSE)</f>
        <v>1.9654645804561623</v>
      </c>
      <c r="D24" s="56">
        <v>2.234</v>
      </c>
      <c r="E24" s="54">
        <f t="shared" si="1"/>
        <v>0.26853541954383764</v>
      </c>
      <c r="F24" s="226">
        <f t="shared" si="2"/>
        <v>0.13662694419123725</v>
      </c>
    </row>
    <row r="25" spans="1:6" ht="16.5" customHeight="1" x14ac:dyDescent="0.25">
      <c r="A25" s="131">
        <f t="shared" si="0"/>
        <v>21</v>
      </c>
      <c r="B25" s="13" t="s">
        <v>36</v>
      </c>
      <c r="C25" s="56">
        <f>VLOOKUP(B25,'Excl URS 3 '!$B$6:$N$61,13,FALSE)</f>
        <v>1.5110332110399665</v>
      </c>
      <c r="D25" s="56">
        <v>1.5329999999999999</v>
      </c>
      <c r="E25" s="54">
        <f t="shared" si="1"/>
        <v>2.1966788960033456E-2</v>
      </c>
      <c r="F25" s="226">
        <f t="shared" si="2"/>
        <v>1.4537595070405399E-2</v>
      </c>
    </row>
    <row r="26" spans="1:6" ht="16.5" customHeight="1" x14ac:dyDescent="0.25">
      <c r="A26" s="131">
        <f t="shared" si="0"/>
        <v>22</v>
      </c>
      <c r="B26" s="13" t="s">
        <v>37</v>
      </c>
      <c r="C26" s="56">
        <f>VLOOKUP(B26,'Excl URS 3 '!$B$6:$N$61,13,FALSE)</f>
        <v>1.4664777589976985</v>
      </c>
      <c r="D26" s="56">
        <v>1.48</v>
      </c>
      <c r="E26" s="54">
        <f t="shared" si="1"/>
        <v>1.3522241002301483E-2</v>
      </c>
      <c r="F26" s="226">
        <f t="shared" si="2"/>
        <v>9.2208974321871754E-3</v>
      </c>
    </row>
    <row r="27" spans="1:6" ht="16.5" customHeight="1" x14ac:dyDescent="0.25">
      <c r="A27" s="131">
        <f t="shared" si="0"/>
        <v>23</v>
      </c>
      <c r="B27" s="13" t="s">
        <v>172</v>
      </c>
      <c r="C27" s="56">
        <f>VLOOKUP(B27,'Excl URS 3 '!$B$6:$N$61,13,FALSE)</f>
        <v>1.435389874503034</v>
      </c>
      <c r="D27" s="56">
        <v>1.448</v>
      </c>
      <c r="E27" s="54">
        <f t="shared" si="1"/>
        <v>1.261012549696594E-2</v>
      </c>
      <c r="F27" s="226">
        <f t="shared" si="2"/>
        <v>8.7851570649624833E-3</v>
      </c>
    </row>
    <row r="28" spans="1:6" ht="16.5" customHeight="1" x14ac:dyDescent="0.25">
      <c r="A28" s="131">
        <f t="shared" si="0"/>
        <v>24</v>
      </c>
      <c r="B28" s="13" t="s">
        <v>282</v>
      </c>
      <c r="C28" s="56">
        <f>VLOOKUP(B28,'Excl URS 3 '!$B$6:$N$61,13,FALSE)</f>
        <v>2.721667712910651</v>
      </c>
      <c r="D28" s="56">
        <v>2.721667712910651</v>
      </c>
      <c r="E28" s="54">
        <f t="shared" si="1"/>
        <v>0</v>
      </c>
      <c r="F28" s="226">
        <f t="shared" si="2"/>
        <v>0</v>
      </c>
    </row>
    <row r="29" spans="1:6" ht="16.5" customHeight="1" x14ac:dyDescent="0.25">
      <c r="A29" s="131">
        <f t="shared" si="0"/>
        <v>25</v>
      </c>
      <c r="B29" s="13" t="s">
        <v>18</v>
      </c>
      <c r="C29" s="56">
        <f>VLOOKUP(B29,'Excl URS 3 '!$B$6:$N$61,13,FALSE)</f>
        <v>3.3375183092697216</v>
      </c>
      <c r="D29" s="56">
        <v>3.41</v>
      </c>
      <c r="E29" s="54">
        <f t="shared" si="1"/>
        <v>7.2481690730278547E-2</v>
      </c>
      <c r="F29" s="226">
        <f t="shared" si="2"/>
        <v>2.1717241379310418E-2</v>
      </c>
    </row>
    <row r="30" spans="1:6" ht="16.5" customHeight="1" x14ac:dyDescent="0.25">
      <c r="A30" s="131">
        <f t="shared" si="0"/>
        <v>26</v>
      </c>
      <c r="B30" s="13" t="s">
        <v>103</v>
      </c>
      <c r="C30" s="56">
        <f>VLOOKUP(B30,'Excl URS 3 '!$B$6:$N$61,13,FALSE)</f>
        <v>3.332247122829044</v>
      </c>
      <c r="D30" s="56">
        <v>3.407</v>
      </c>
      <c r="E30" s="54">
        <f t="shared" si="1"/>
        <v>7.4752877170956022E-2</v>
      </c>
      <c r="F30" s="226">
        <f t="shared" si="2"/>
        <v>2.243317329583035E-2</v>
      </c>
    </row>
    <row r="31" spans="1:6" ht="16.5" customHeight="1" x14ac:dyDescent="0.25">
      <c r="A31" s="131">
        <f t="shared" si="0"/>
        <v>27</v>
      </c>
      <c r="B31" s="13" t="s">
        <v>70</v>
      </c>
      <c r="C31" s="56">
        <f>VLOOKUP(B31,'Excl URS 3 '!$B$6:$N$61,13,FALSE)</f>
        <v>3.3270909970705169</v>
      </c>
      <c r="D31" s="56">
        <v>3.3270909970705169</v>
      </c>
      <c r="E31" s="54">
        <f t="shared" si="1"/>
        <v>0</v>
      </c>
      <c r="F31" s="226">
        <f t="shared" si="2"/>
        <v>0</v>
      </c>
    </row>
    <row r="32" spans="1:6" ht="16.5" customHeight="1" x14ac:dyDescent="0.25">
      <c r="A32" s="131">
        <f t="shared" si="0"/>
        <v>28</v>
      </c>
      <c r="B32" s="13" t="s">
        <v>168</v>
      </c>
      <c r="C32" s="56">
        <f>VLOOKUP(B32,'Excl URS 3 '!$B$6:$N$61,13,FALSE)</f>
        <v>3.0937434609750998</v>
      </c>
      <c r="D32" s="56">
        <v>3.0937434609750998</v>
      </c>
      <c r="E32" s="54">
        <f t="shared" si="1"/>
        <v>0</v>
      </c>
      <c r="F32" s="226">
        <f t="shared" si="2"/>
        <v>0</v>
      </c>
    </row>
    <row r="33" spans="1:6" ht="16.5" customHeight="1" x14ac:dyDescent="0.25">
      <c r="A33" s="131">
        <f t="shared" si="0"/>
        <v>29</v>
      </c>
      <c r="B33" s="13" t="s">
        <v>150</v>
      </c>
      <c r="C33" s="56">
        <f>VLOOKUP(B33,'Excl URS 3 '!$B$6:$N$61,13,FALSE)</f>
        <v>4.1246578782172003</v>
      </c>
      <c r="D33" s="56">
        <v>4.3650000000000002</v>
      </c>
      <c r="E33" s="54">
        <f t="shared" si="1"/>
        <v>0.2403421217827999</v>
      </c>
      <c r="F33" s="226">
        <f t="shared" si="2"/>
        <v>5.8269589594830327E-2</v>
      </c>
    </row>
    <row r="34" spans="1:6" ht="16.5" customHeight="1" x14ac:dyDescent="0.25">
      <c r="A34" s="131">
        <f t="shared" si="0"/>
        <v>30</v>
      </c>
      <c r="B34" s="13" t="s">
        <v>129</v>
      </c>
      <c r="C34" s="56">
        <f>VLOOKUP(B34,'Excl URS 3 '!$B$6:$N$61,13,FALSE)</f>
        <v>1.6678175350491733</v>
      </c>
      <c r="D34" s="56">
        <v>1.6678175350491733</v>
      </c>
      <c r="E34" s="54">
        <f t="shared" si="1"/>
        <v>0</v>
      </c>
      <c r="F34" s="226">
        <f t="shared" si="2"/>
        <v>0</v>
      </c>
    </row>
    <row r="35" spans="1:6" ht="16.5" customHeight="1" x14ac:dyDescent="0.25">
      <c r="A35" s="131">
        <f t="shared" si="0"/>
        <v>31</v>
      </c>
      <c r="B35" s="13" t="s">
        <v>130</v>
      </c>
      <c r="C35" s="56">
        <f>VLOOKUP(B35,'Excl URS 3 '!$B$6:$N$61,13,FALSE)</f>
        <v>1.6551579828415988</v>
      </c>
      <c r="D35" s="56">
        <v>1.69</v>
      </c>
      <c r="E35" s="54">
        <f t="shared" si="1"/>
        <v>3.4842017158401184E-2</v>
      </c>
      <c r="F35" s="226">
        <f t="shared" si="2"/>
        <v>2.1050568900126326E-2</v>
      </c>
    </row>
    <row r="36" spans="1:6" ht="16.5" customHeight="1" x14ac:dyDescent="0.25">
      <c r="A36" s="131">
        <f t="shared" si="0"/>
        <v>32</v>
      </c>
      <c r="B36" s="13" t="s">
        <v>131</v>
      </c>
      <c r="C36" s="56">
        <f>VLOOKUP(B36,'Excl URS 3 '!$B$6:$N$61,13,FALSE)</f>
        <v>1.6331868591755596</v>
      </c>
      <c r="D36" s="56">
        <v>1.671</v>
      </c>
      <c r="E36" s="54">
        <f t="shared" si="1"/>
        <v>3.7813140824440428E-2</v>
      </c>
      <c r="F36" s="226">
        <f t="shared" si="2"/>
        <v>2.3152978859705423E-2</v>
      </c>
    </row>
    <row r="37" spans="1:6" ht="16.5" customHeight="1" x14ac:dyDescent="0.25">
      <c r="A37" s="131">
        <f t="shared" si="0"/>
        <v>33</v>
      </c>
      <c r="B37" s="13" t="s">
        <v>297</v>
      </c>
      <c r="C37" s="56">
        <f>VLOOKUP(B37,'Excl URS 3 '!$B$6:$N$61,13,FALSE)</f>
        <v>2.6412429378531077</v>
      </c>
      <c r="D37" s="56">
        <v>2.6412429378531077</v>
      </c>
      <c r="E37" s="54">
        <f t="shared" si="1"/>
        <v>0</v>
      </c>
      <c r="F37" s="226">
        <f t="shared" si="2"/>
        <v>0</v>
      </c>
    </row>
    <row r="38" spans="1:6" ht="16.5" customHeight="1" x14ac:dyDescent="0.25">
      <c r="A38" s="131">
        <f t="shared" si="0"/>
        <v>34</v>
      </c>
      <c r="B38" s="13" t="s">
        <v>298</v>
      </c>
      <c r="C38" s="56">
        <f>VLOOKUP(B38,'Excl URS 3 '!$B$6:$N$61,13,FALSE)</f>
        <v>2.6883239171374766</v>
      </c>
      <c r="D38" s="56">
        <v>2.6883239171374766</v>
      </c>
      <c r="E38" s="54">
        <f t="shared" si="1"/>
        <v>0</v>
      </c>
      <c r="F38" s="226">
        <f t="shared" si="2"/>
        <v>0</v>
      </c>
    </row>
    <row r="39" spans="1:6" ht="16.5" customHeight="1" x14ac:dyDescent="0.25">
      <c r="A39" s="131">
        <f t="shared" si="0"/>
        <v>35</v>
      </c>
      <c r="B39" s="13" t="s">
        <v>43</v>
      </c>
      <c r="C39" s="56">
        <f>VLOOKUP(B39,'Excl URS 3 '!$B$6:$N$61,13,FALSE)</f>
        <v>1.5560391423263658</v>
      </c>
      <c r="D39" s="56">
        <v>1.5560391423263658</v>
      </c>
      <c r="E39" s="54">
        <f t="shared" si="1"/>
        <v>0</v>
      </c>
      <c r="F39" s="226">
        <f t="shared" si="2"/>
        <v>0</v>
      </c>
    </row>
    <row r="40" spans="1:6" ht="16.5" customHeight="1" x14ac:dyDescent="0.25">
      <c r="A40" s="131">
        <f t="shared" si="0"/>
        <v>36</v>
      </c>
      <c r="B40" s="13" t="s">
        <v>25</v>
      </c>
      <c r="C40" s="56">
        <f>VLOOKUP(B40,'Excl URS 3 '!$B$6:$N$61,13,FALSE)</f>
        <v>2.3970000000000002</v>
      </c>
      <c r="D40" s="56">
        <v>2.3970000000000002</v>
      </c>
      <c r="E40" s="54">
        <f t="shared" si="1"/>
        <v>0</v>
      </c>
      <c r="F40" s="226">
        <f t="shared" si="2"/>
        <v>0</v>
      </c>
    </row>
    <row r="41" spans="1:6" ht="16.5" customHeight="1" x14ac:dyDescent="0.25">
      <c r="A41" s="131">
        <f t="shared" si="0"/>
        <v>37</v>
      </c>
      <c r="B41" s="13" t="s">
        <v>22</v>
      </c>
      <c r="C41" s="56">
        <f>VLOOKUP(B41,'Excl URS 3 '!$B$6:$N$61,13,FALSE)</f>
        <v>3.0670000000000002</v>
      </c>
      <c r="D41" s="56">
        <v>3.0670000000000002</v>
      </c>
      <c r="E41" s="54">
        <f t="shared" si="1"/>
        <v>0</v>
      </c>
      <c r="F41" s="226">
        <f t="shared" si="2"/>
        <v>0</v>
      </c>
    </row>
    <row r="42" spans="1:6" ht="16.5" customHeight="1" x14ac:dyDescent="0.25">
      <c r="A42" s="131">
        <f t="shared" si="0"/>
        <v>38</v>
      </c>
      <c r="B42" s="13" t="s">
        <v>132</v>
      </c>
      <c r="C42" s="56">
        <f>VLOOKUP(B42,'Excl URS 3 '!$B$6:$N$61,13,FALSE)</f>
        <v>2.0517890772128062</v>
      </c>
      <c r="D42" s="56">
        <v>2.0779999999999998</v>
      </c>
      <c r="E42" s="54">
        <f t="shared" si="1"/>
        <v>2.6210922787193613E-2</v>
      </c>
      <c r="F42" s="226">
        <f t="shared" si="2"/>
        <v>1.2774667278567974E-2</v>
      </c>
    </row>
    <row r="43" spans="1:6" ht="16.5" customHeight="1" x14ac:dyDescent="0.25">
      <c r="A43" s="131">
        <f t="shared" si="0"/>
        <v>39</v>
      </c>
      <c r="B43" s="13" t="s">
        <v>29</v>
      </c>
      <c r="C43" s="56">
        <f>VLOOKUP(B43,'Excl URS 3 '!$B$6:$N$61,13,FALSE)</f>
        <v>1.4119254692927392</v>
      </c>
      <c r="D43" s="56">
        <v>1.4410000000000001</v>
      </c>
      <c r="E43" s="54">
        <f t="shared" si="1"/>
        <v>2.9074530707260848E-2</v>
      </c>
      <c r="F43" s="226">
        <f t="shared" si="2"/>
        <v>2.0592114342851853E-2</v>
      </c>
    </row>
    <row r="44" spans="1:6" ht="16.5" customHeight="1" x14ac:dyDescent="0.25">
      <c r="A44" s="131">
        <f t="shared" si="0"/>
        <v>40</v>
      </c>
      <c r="B44" s="13" t="s">
        <v>28</v>
      </c>
      <c r="C44" s="56">
        <f>VLOOKUP(B44,'Excl URS 3 '!$B$6:$N$61,13,FALSE)</f>
        <v>1.4166364967043317</v>
      </c>
      <c r="D44" s="56">
        <v>1.4690000000000001</v>
      </c>
      <c r="E44" s="54">
        <f t="shared" si="1"/>
        <v>5.2363503295668412E-2</v>
      </c>
      <c r="F44" s="226">
        <f t="shared" si="2"/>
        <v>3.6963260100588299E-2</v>
      </c>
    </row>
    <row r="45" spans="1:6" ht="16.5" customHeight="1" x14ac:dyDescent="0.25">
      <c r="A45" s="131">
        <f t="shared" si="0"/>
        <v>41</v>
      </c>
      <c r="B45" s="13" t="s">
        <v>296</v>
      </c>
      <c r="C45" s="56">
        <f>VLOOKUP(B45,'Excl URS 3 '!$B$6:$N$61,13,FALSE)</f>
        <v>2.8834484201715838</v>
      </c>
      <c r="D45" s="56">
        <v>2.8834484201715838</v>
      </c>
      <c r="E45" s="54">
        <f t="shared" si="1"/>
        <v>0</v>
      </c>
      <c r="F45" s="226">
        <f t="shared" si="2"/>
        <v>0</v>
      </c>
    </row>
    <row r="46" spans="1:6" ht="16.5" customHeight="1" x14ac:dyDescent="0.25">
      <c r="A46" s="131">
        <f t="shared" si="0"/>
        <v>42</v>
      </c>
      <c r="B46" s="13" t="s">
        <v>117</v>
      </c>
      <c r="C46" s="56">
        <f>VLOOKUP(B46,'Excl URS 3 '!$B$6:$N$61,13,FALSE)</f>
        <v>4.241218664992676</v>
      </c>
      <c r="D46" s="56">
        <v>4.2510000000000003</v>
      </c>
      <c r="E46" s="54">
        <f t="shared" si="1"/>
        <v>9.7813350073243654E-3</v>
      </c>
      <c r="F46" s="226">
        <f t="shared" si="2"/>
        <v>2.3062557674897095E-3</v>
      </c>
    </row>
    <row r="47" spans="1:6" ht="16.5" customHeight="1" x14ac:dyDescent="0.25">
      <c r="A47" s="131">
        <f t="shared" si="0"/>
        <v>43</v>
      </c>
      <c r="B47" s="13" t="s">
        <v>54</v>
      </c>
      <c r="C47" s="56">
        <f>VLOOKUP(B47,'Excl URS 3 '!$B$6:$N$61,13,FALSE)</f>
        <v>3.1269999999999998</v>
      </c>
      <c r="D47" s="56">
        <v>3.1269999999999998</v>
      </c>
      <c r="E47" s="54">
        <f t="shared" si="1"/>
        <v>0</v>
      </c>
      <c r="F47" s="226">
        <f t="shared" si="2"/>
        <v>0</v>
      </c>
    </row>
    <row r="48" spans="1:6" ht="16.5" customHeight="1" x14ac:dyDescent="0.25">
      <c r="A48" s="131">
        <f t="shared" si="0"/>
        <v>44</v>
      </c>
      <c r="B48" s="13" t="s">
        <v>167</v>
      </c>
      <c r="C48" s="56">
        <f>VLOOKUP(B48,'Excl URS 3 '!$B$6:$N$61,13,FALSE)</f>
        <v>2.9260000000000002</v>
      </c>
      <c r="D48" s="56">
        <v>2.9260000000000002</v>
      </c>
      <c r="E48" s="54">
        <f t="shared" si="1"/>
        <v>0</v>
      </c>
      <c r="F48" s="226">
        <f t="shared" si="2"/>
        <v>0</v>
      </c>
    </row>
    <row r="49" spans="1:6" ht="16.5" customHeight="1" x14ac:dyDescent="0.25">
      <c r="A49" s="131">
        <f t="shared" si="0"/>
        <v>45</v>
      </c>
      <c r="B49" s="13" t="s">
        <v>60</v>
      </c>
      <c r="C49" s="56">
        <f>VLOOKUP(B49,'Excl URS 3 '!$B$6:$N$61,13,FALSE)</f>
        <v>2.786</v>
      </c>
      <c r="D49" s="56">
        <v>2.786</v>
      </c>
      <c r="E49" s="54">
        <f t="shared" si="1"/>
        <v>0</v>
      </c>
      <c r="F49" s="226">
        <f t="shared" si="2"/>
        <v>0</v>
      </c>
    </row>
    <row r="50" spans="1:6" ht="16.5" customHeight="1" x14ac:dyDescent="0.25">
      <c r="A50" s="131">
        <f t="shared" si="0"/>
        <v>46</v>
      </c>
      <c r="B50" s="13" t="s">
        <v>245</v>
      </c>
      <c r="C50" s="56">
        <f>VLOOKUP(B50,'Excl URS 3 '!$B$6:$N$61,13,FALSE)</f>
        <v>3.3453449696589246</v>
      </c>
      <c r="D50" s="56">
        <v>3.4489999999999998</v>
      </c>
      <c r="E50" s="54">
        <f t="shared" si="1"/>
        <v>0.10365503034107526</v>
      </c>
      <c r="F50" s="226">
        <f t="shared" si="2"/>
        <v>3.0984855457714854E-2</v>
      </c>
    </row>
    <row r="51" spans="1:6" ht="16.5" customHeight="1" x14ac:dyDescent="0.25">
      <c r="A51" s="131">
        <f t="shared" si="0"/>
        <v>47</v>
      </c>
      <c r="B51" s="13" t="s">
        <v>311</v>
      </c>
      <c r="C51" s="56">
        <f>VLOOKUP(B51,'Excl URS 3 '!$B$6:$N$61,13,FALSE)</f>
        <v>3.0498012136430215</v>
      </c>
      <c r="D51" s="56">
        <v>3.0498012136430215</v>
      </c>
      <c r="E51" s="54">
        <f t="shared" si="1"/>
        <v>0</v>
      </c>
      <c r="F51" s="226">
        <f t="shared" si="2"/>
        <v>0</v>
      </c>
    </row>
    <row r="52" spans="1:6" ht="16.5" customHeight="1" x14ac:dyDescent="0.25">
      <c r="A52" s="131">
        <f t="shared" si="0"/>
        <v>48</v>
      </c>
      <c r="B52" s="13" t="s">
        <v>134</v>
      </c>
      <c r="C52" s="56">
        <f>VLOOKUP(B52,'Excl URS 3 '!$B$6:$N$61,13,FALSE)</f>
        <v>3.699235404896422</v>
      </c>
      <c r="D52" s="56">
        <v>3.7069999999999999</v>
      </c>
      <c r="E52" s="54">
        <f t="shared" si="1"/>
        <v>7.7645951035778538E-3</v>
      </c>
      <c r="F52" s="226">
        <f t="shared" si="2"/>
        <v>2.0989729643321416E-3</v>
      </c>
    </row>
    <row r="53" spans="1:6" ht="16.5" customHeight="1" x14ac:dyDescent="0.25">
      <c r="A53" s="131">
        <f t="shared" si="0"/>
        <v>49</v>
      </c>
      <c r="B53" s="13" t="s">
        <v>135</v>
      </c>
      <c r="C53" s="56">
        <f>VLOOKUP(B53,'Excl URS 3 '!$B$6:$N$61,13,FALSE)</f>
        <v>4.4444967566436491</v>
      </c>
      <c r="D53" s="56">
        <v>4.4444967566436491</v>
      </c>
      <c r="E53" s="54">
        <f t="shared" si="1"/>
        <v>0</v>
      </c>
      <c r="F53" s="226">
        <f t="shared" si="2"/>
        <v>0</v>
      </c>
    </row>
    <row r="54" spans="1:6" ht="16.5" customHeight="1" x14ac:dyDescent="0.25">
      <c r="A54" s="131">
        <f t="shared" si="0"/>
        <v>50</v>
      </c>
      <c r="B54" s="13" t="s">
        <v>133</v>
      </c>
      <c r="C54" s="56">
        <f>VLOOKUP(B54,'Excl URS 3 '!$B$6:$N$61,13,FALSE)</f>
        <v>3.6889116970077427</v>
      </c>
      <c r="D54" s="56">
        <v>3.8719999999999999</v>
      </c>
      <c r="E54" s="54">
        <f t="shared" si="1"/>
        <v>0.1830883029922572</v>
      </c>
      <c r="F54" s="226">
        <f t="shared" si="2"/>
        <v>4.9632064421810125E-2</v>
      </c>
    </row>
    <row r="55" spans="1:6" ht="16.5" customHeight="1" x14ac:dyDescent="0.25">
      <c r="A55" s="131">
        <f t="shared" si="0"/>
        <v>51</v>
      </c>
      <c r="B55" s="13" t="s">
        <v>153</v>
      </c>
      <c r="C55" s="56">
        <f>VLOOKUP(B55,'Excl URS 3 '!$B$6:$N$61,13,FALSE)</f>
        <v>3.5510387110274113</v>
      </c>
      <c r="D55" s="56">
        <v>3.6320000000000001</v>
      </c>
      <c r="E55" s="54">
        <f t="shared" si="1"/>
        <v>8.0961288972588807E-2</v>
      </c>
      <c r="F55" s="226">
        <f t="shared" si="2"/>
        <v>2.2799325932767577E-2</v>
      </c>
    </row>
    <row r="56" spans="1:6" x14ac:dyDescent="0.25">
      <c r="A56" s="131">
        <f t="shared" si="0"/>
        <v>52</v>
      </c>
      <c r="B56" s="13" t="s">
        <v>31</v>
      </c>
      <c r="C56" s="56">
        <f>VLOOKUP(B56,'Excl URS 3 '!$B$6:$N$61,13,FALSE)</f>
        <v>2.4640255978238126</v>
      </c>
      <c r="D56" s="56">
        <v>2.4640255978238126</v>
      </c>
      <c r="E56" s="54">
        <f t="shared" si="1"/>
        <v>0</v>
      </c>
      <c r="F56" s="226">
        <f t="shared" si="2"/>
        <v>0</v>
      </c>
    </row>
    <row r="57" spans="1:6" x14ac:dyDescent="0.25">
      <c r="A57" s="131">
        <f t="shared" si="0"/>
        <v>53</v>
      </c>
      <c r="B57" s="13" t="s">
        <v>34</v>
      </c>
      <c r="C57" s="56">
        <f>VLOOKUP(B57,'Excl URS 3 '!$B$6:$N$61,13,FALSE)</f>
        <v>2.3705448042268253</v>
      </c>
      <c r="D57" s="56">
        <v>2.3705448042268253</v>
      </c>
      <c r="E57" s="54">
        <f t="shared" si="1"/>
        <v>0</v>
      </c>
      <c r="F57" s="226">
        <f t="shared" si="2"/>
        <v>0</v>
      </c>
    </row>
    <row r="58" spans="1:6" x14ac:dyDescent="0.25">
      <c r="A58" s="131">
        <f t="shared" si="0"/>
        <v>54</v>
      </c>
      <c r="B58" s="13" t="s">
        <v>30</v>
      </c>
      <c r="C58" s="56">
        <f>VLOOKUP(B58,'Excl URS 3 '!$B$6:$N$61,13,FALSE)</f>
        <v>2.3424844320987659</v>
      </c>
      <c r="D58" s="56">
        <v>2.3719999999999999</v>
      </c>
      <c r="E58" s="54">
        <f t="shared" si="1"/>
        <v>2.9515567901233997E-2</v>
      </c>
      <c r="F58" s="226">
        <f t="shared" si="2"/>
        <v>1.2600112725099014E-2</v>
      </c>
    </row>
    <row r="59" spans="1:6" x14ac:dyDescent="0.25">
      <c r="A59" s="131">
        <f t="shared" si="0"/>
        <v>55</v>
      </c>
      <c r="B59" s="13" t="s">
        <v>33</v>
      </c>
      <c r="C59" s="56">
        <f>VLOOKUP(B59,'Excl URS 3 '!$B$6:$N$61,13,FALSE)</f>
        <v>2.3194208204645324</v>
      </c>
      <c r="D59" s="56">
        <v>2.3530000000000002</v>
      </c>
      <c r="E59" s="54">
        <f t="shared" si="1"/>
        <v>3.3579179535467851E-2</v>
      </c>
      <c r="F59" s="226">
        <f t="shared" si="2"/>
        <v>1.4477398512246963E-2</v>
      </c>
    </row>
    <row r="60" spans="1:6" x14ac:dyDescent="0.25">
      <c r="A60" s="131">
        <f t="shared" si="0"/>
        <v>56</v>
      </c>
      <c r="B60" s="13" t="s">
        <v>95</v>
      </c>
      <c r="C60" s="56">
        <f>VLOOKUP(B60,'Excl URS 3 '!$B$6:$N$61,13,FALSE)</f>
        <v>2.3626348354467464</v>
      </c>
      <c r="D60" s="56">
        <v>2.387</v>
      </c>
      <c r="E60" s="54">
        <f t="shared" si="1"/>
        <v>2.436516455325366E-2</v>
      </c>
      <c r="F60" s="226">
        <f t="shared" si="2"/>
        <v>1.0312708586067426E-2</v>
      </c>
    </row>
  </sheetData>
  <sheetProtection selectLockedCells="1"/>
  <autoFilter ref="A4:E58"/>
  <sortState ref="B5:E60">
    <sortCondition ref="B5:B60"/>
  </sortState>
  <mergeCells count="1">
    <mergeCell ref="A3:F3"/>
  </mergeCells>
  <printOptions horizontalCentered="1"/>
  <pageMargins left="0.11811023622047245" right="0.11811023622047245" top="0.19685039370078741" bottom="0.15748031496062992" header="0" footer="0"/>
  <pageSetup paperSize="9" scale="82"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17"/>
  <sheetViews>
    <sheetView view="pageBreakPreview" zoomScale="110" zoomScaleSheetLayoutView="110" workbookViewId="0">
      <pane xSplit="2" ySplit="4" topLeftCell="C176" activePane="bottomRight" state="frozen"/>
      <selection activeCell="S183" sqref="S183"/>
      <selection pane="topRight" activeCell="S183" sqref="S183"/>
      <selection pane="bottomLeft" activeCell="S183" sqref="S183"/>
      <selection pane="bottomRight" activeCell="S183" sqref="S183"/>
    </sheetView>
  </sheetViews>
  <sheetFormatPr defaultColWidth="8.85546875" defaultRowHeight="12.75" x14ac:dyDescent="0.25"/>
  <cols>
    <col min="1" max="1" width="4.85546875" style="6" customWidth="1"/>
    <col min="2" max="2" width="24" style="3" customWidth="1"/>
    <col min="3" max="3" width="12.7109375" style="6" customWidth="1"/>
    <col min="4" max="4" width="8.28515625" style="3" hidden="1" customWidth="1"/>
    <col min="5" max="5" width="10.140625" style="6" hidden="1" customWidth="1"/>
    <col min="6" max="6" width="11.28515625" style="3" hidden="1" customWidth="1"/>
    <col min="7" max="7" width="12.28515625" style="3" hidden="1" customWidth="1"/>
    <col min="8" max="9" width="9.7109375" style="3" hidden="1" customWidth="1"/>
    <col min="10" max="10" width="7.28515625" style="6" hidden="1" customWidth="1"/>
    <col min="11" max="12" width="10.85546875" style="3" hidden="1" customWidth="1"/>
    <col min="13" max="14" width="9.85546875" style="3" hidden="1" customWidth="1"/>
    <col min="15" max="15" width="11.42578125" style="3" hidden="1" customWidth="1"/>
    <col min="16" max="16384" width="8.85546875" style="3"/>
  </cols>
  <sheetData>
    <row r="1" spans="1:19" ht="15.75" customHeight="1" x14ac:dyDescent="0.25">
      <c r="A1" s="234" t="s">
        <v>266</v>
      </c>
      <c r="B1" s="235"/>
      <c r="C1" s="235"/>
      <c r="D1" s="235"/>
      <c r="E1" s="235"/>
      <c r="F1" s="235"/>
      <c r="G1" s="235"/>
      <c r="H1" s="235"/>
      <c r="I1" s="235"/>
      <c r="J1" s="235"/>
      <c r="K1" s="235"/>
      <c r="L1" s="235"/>
      <c r="M1" s="235"/>
      <c r="N1" s="235"/>
      <c r="O1" s="236"/>
    </row>
    <row r="2" spans="1:19" ht="13.9" customHeight="1" x14ac:dyDescent="0.25">
      <c r="A2" s="37" t="s">
        <v>53</v>
      </c>
      <c r="B2" s="237" t="s">
        <v>1</v>
      </c>
      <c r="C2" s="240" t="s">
        <v>99</v>
      </c>
      <c r="D2" s="237" t="s">
        <v>108</v>
      </c>
      <c r="E2" s="237" t="s">
        <v>109</v>
      </c>
      <c r="F2" s="241" t="s">
        <v>195</v>
      </c>
      <c r="G2" s="237" t="s">
        <v>191</v>
      </c>
      <c r="H2" s="237" t="s">
        <v>55</v>
      </c>
      <c r="I2" s="237" t="s">
        <v>234</v>
      </c>
      <c r="J2" s="237" t="s">
        <v>3</v>
      </c>
      <c r="K2" s="237" t="s">
        <v>244</v>
      </c>
      <c r="L2" s="237" t="s">
        <v>97</v>
      </c>
      <c r="M2" s="237" t="s">
        <v>48</v>
      </c>
      <c r="N2" s="237" t="s">
        <v>100</v>
      </c>
      <c r="O2" s="237" t="s">
        <v>52</v>
      </c>
      <c r="Q2" s="3" t="s">
        <v>269</v>
      </c>
    </row>
    <row r="3" spans="1:19" ht="25.5" customHeight="1" x14ac:dyDescent="0.25">
      <c r="A3" s="37"/>
      <c r="B3" s="238"/>
      <c r="C3" s="240"/>
      <c r="D3" s="238"/>
      <c r="E3" s="238"/>
      <c r="F3" s="242"/>
      <c r="G3" s="239"/>
      <c r="H3" s="238"/>
      <c r="I3" s="238"/>
      <c r="J3" s="238"/>
      <c r="K3" s="238"/>
      <c r="L3" s="238"/>
      <c r="M3" s="238"/>
      <c r="N3" s="238"/>
      <c r="O3" s="238"/>
    </row>
    <row r="4" spans="1:19" ht="39.75" customHeight="1" x14ac:dyDescent="0.25">
      <c r="A4" s="37"/>
      <c r="B4" s="239"/>
      <c r="C4" s="240"/>
      <c r="D4" s="239"/>
      <c r="E4" s="239"/>
      <c r="F4" s="243"/>
      <c r="G4" s="145" t="s">
        <v>4</v>
      </c>
      <c r="H4" s="239"/>
      <c r="I4" s="239"/>
      <c r="J4" s="239"/>
      <c r="K4" s="239"/>
      <c r="L4" s="239"/>
      <c r="M4" s="239"/>
      <c r="N4" s="239"/>
      <c r="O4" s="239"/>
      <c r="Q4" s="187"/>
    </row>
    <row r="5" spans="1:19" ht="26.25" customHeight="1" x14ac:dyDescent="0.25">
      <c r="A5" s="145" t="s">
        <v>5</v>
      </c>
      <c r="B5" s="145" t="s">
        <v>6</v>
      </c>
      <c r="C5" s="145" t="s">
        <v>7</v>
      </c>
      <c r="D5" s="145" t="s">
        <v>8</v>
      </c>
      <c r="E5" s="145" t="s">
        <v>9</v>
      </c>
      <c r="F5" s="145" t="s">
        <v>10</v>
      </c>
      <c r="G5" s="145" t="s">
        <v>190</v>
      </c>
      <c r="H5" s="145" t="s">
        <v>189</v>
      </c>
      <c r="I5" s="145" t="s">
        <v>11</v>
      </c>
      <c r="J5" s="145" t="s">
        <v>12</v>
      </c>
      <c r="K5" s="145" t="s">
        <v>13</v>
      </c>
      <c r="L5" s="145" t="s">
        <v>14</v>
      </c>
      <c r="M5" s="145" t="s">
        <v>96</v>
      </c>
      <c r="N5" s="145" t="s">
        <v>235</v>
      </c>
      <c r="O5" s="145" t="s">
        <v>236</v>
      </c>
      <c r="Q5" s="3" t="s">
        <v>7</v>
      </c>
      <c r="R5" s="3" t="s">
        <v>267</v>
      </c>
      <c r="S5" s="3" t="s">
        <v>268</v>
      </c>
    </row>
    <row r="6" spans="1:19" s="65" customFormat="1" ht="15.75" customHeight="1" x14ac:dyDescent="0.25">
      <c r="A6" s="180">
        <v>1</v>
      </c>
      <c r="B6" s="63" t="s">
        <v>179</v>
      </c>
      <c r="C6" s="64">
        <v>4.38</v>
      </c>
      <c r="D6" s="181"/>
      <c r="E6" s="64">
        <f>C6+D6</f>
        <v>4.38</v>
      </c>
      <c r="F6" s="178"/>
      <c r="G6" s="64">
        <f t="shared" ref="G6:G69" si="0">E6/((100%-F6))</f>
        <v>4.38</v>
      </c>
      <c r="H6" s="62"/>
      <c r="I6" s="64">
        <f>VLOOKUP(B6,'fixed cost'!$B$4:$R$116,17,0)</f>
        <v>0</v>
      </c>
      <c r="J6" s="62"/>
      <c r="K6" s="62"/>
      <c r="L6" s="62"/>
      <c r="M6" s="62"/>
      <c r="N6" s="62"/>
      <c r="O6" s="64">
        <f t="shared" ref="O6:O69" si="1">SUM(G6:N6)</f>
        <v>4.38</v>
      </c>
      <c r="Q6" s="65">
        <v>4.38</v>
      </c>
      <c r="R6" s="188">
        <f>C6-Q6</f>
        <v>0</v>
      </c>
      <c r="S6" s="189">
        <f>R6/Q6</f>
        <v>0</v>
      </c>
    </row>
    <row r="7" spans="1:19" s="57" customFormat="1" ht="15" customHeight="1" x14ac:dyDescent="0.25">
      <c r="A7" s="2">
        <f>A6+1</f>
        <v>2</v>
      </c>
      <c r="B7" s="4" t="s">
        <v>24</v>
      </c>
      <c r="C7" s="1">
        <v>1.8520000000000001</v>
      </c>
      <c r="D7" s="15"/>
      <c r="E7" s="1">
        <f t="shared" ref="E7:E47" si="2">C7+D7</f>
        <v>1.8520000000000001</v>
      </c>
      <c r="F7" s="7"/>
      <c r="G7" s="1">
        <f t="shared" si="0"/>
        <v>1.8520000000000001</v>
      </c>
      <c r="H7" s="2"/>
      <c r="I7" s="1">
        <f>VLOOKUP(B7,'fixed cost'!$B$4:$R$116,17,0)</f>
        <v>0</v>
      </c>
      <c r="J7" s="2"/>
      <c r="K7" s="2"/>
      <c r="L7" s="2"/>
      <c r="M7" s="2"/>
      <c r="N7" s="2"/>
      <c r="O7" s="1">
        <f t="shared" si="1"/>
        <v>1.8520000000000001</v>
      </c>
      <c r="Q7" s="57">
        <v>1.579</v>
      </c>
      <c r="R7" s="188">
        <f t="shared" ref="R7:R70" si="3">C7-Q7</f>
        <v>0.27300000000000013</v>
      </c>
      <c r="S7" s="189">
        <f t="shared" ref="S7:S70" si="4">R7/Q7</f>
        <v>0.17289423685877145</v>
      </c>
    </row>
    <row r="8" spans="1:19" s="61" customFormat="1" x14ac:dyDescent="0.25">
      <c r="A8" s="58">
        <v>2</v>
      </c>
      <c r="B8" s="59" t="s">
        <v>24</v>
      </c>
      <c r="C8" s="60">
        <f>C7</f>
        <v>1.8520000000000001</v>
      </c>
      <c r="D8" s="85"/>
      <c r="E8" s="60">
        <f t="shared" si="2"/>
        <v>1.8520000000000001</v>
      </c>
      <c r="F8" s="124"/>
      <c r="G8" s="60">
        <f t="shared" si="0"/>
        <v>1.8520000000000001</v>
      </c>
      <c r="H8" s="58"/>
      <c r="I8" s="1">
        <f>VLOOKUP(B8,'fixed cost'!$B$4:$R$116,17,0)</f>
        <v>0</v>
      </c>
      <c r="J8" s="58"/>
      <c r="K8" s="58"/>
      <c r="L8" s="58"/>
      <c r="M8" s="58"/>
      <c r="N8" s="58">
        <v>0.5</v>
      </c>
      <c r="O8" s="60">
        <f t="shared" si="1"/>
        <v>2.3520000000000003</v>
      </c>
      <c r="Q8" s="61">
        <v>1.579</v>
      </c>
      <c r="R8" s="188">
        <f t="shared" si="3"/>
        <v>0.27300000000000013</v>
      </c>
      <c r="S8" s="189">
        <f t="shared" si="4"/>
        <v>0.17289423685877145</v>
      </c>
    </row>
    <row r="9" spans="1:19" s="61" customFormat="1" x14ac:dyDescent="0.25">
      <c r="A9" s="146">
        <v>2</v>
      </c>
      <c r="B9" s="147" t="s">
        <v>24</v>
      </c>
      <c r="C9" s="148">
        <f>C8</f>
        <v>1.8520000000000001</v>
      </c>
      <c r="D9" s="149"/>
      <c r="E9" s="148">
        <f t="shared" si="2"/>
        <v>1.8520000000000001</v>
      </c>
      <c r="F9" s="150"/>
      <c r="G9" s="148">
        <f t="shared" si="0"/>
        <v>1.8520000000000001</v>
      </c>
      <c r="H9" s="146"/>
      <c r="I9" s="1">
        <f>VLOOKUP(B9,'fixed cost'!$B$4:$R$116,17,0)</f>
        <v>0</v>
      </c>
      <c r="J9" s="146"/>
      <c r="K9" s="146"/>
      <c r="L9" s="146"/>
      <c r="M9" s="146"/>
      <c r="N9" s="146">
        <v>0.65</v>
      </c>
      <c r="O9" s="148">
        <f t="shared" si="1"/>
        <v>2.5020000000000002</v>
      </c>
      <c r="Q9" s="61">
        <v>1.579</v>
      </c>
      <c r="R9" s="188">
        <f t="shared" si="3"/>
        <v>0.27300000000000013</v>
      </c>
      <c r="S9" s="189">
        <f t="shared" si="4"/>
        <v>0.17289423685877145</v>
      </c>
    </row>
    <row r="10" spans="1:19" s="99" customFormat="1" ht="15.75" customHeight="1" x14ac:dyDescent="0.25">
      <c r="A10" s="96">
        <v>3</v>
      </c>
      <c r="B10" s="97" t="s">
        <v>42</v>
      </c>
      <c r="C10" s="98">
        <v>0.67200000000000004</v>
      </c>
      <c r="D10" s="96"/>
      <c r="E10" s="98">
        <f t="shared" si="2"/>
        <v>0.67200000000000004</v>
      </c>
      <c r="F10" s="96"/>
      <c r="G10" s="98">
        <f t="shared" si="0"/>
        <v>0.67200000000000004</v>
      </c>
      <c r="H10" s="96"/>
      <c r="I10" s="98">
        <f>VLOOKUP(B10,'fixed cost'!$B$4:$R$116,17,0)</f>
        <v>0</v>
      </c>
      <c r="J10" s="96"/>
      <c r="K10" s="96"/>
      <c r="L10" s="96"/>
      <c r="M10" s="96"/>
      <c r="N10" s="96"/>
      <c r="O10" s="98">
        <f t="shared" si="1"/>
        <v>0.67200000000000004</v>
      </c>
      <c r="Q10" s="99">
        <v>0.67200000000000004</v>
      </c>
      <c r="R10" s="188">
        <f t="shared" si="3"/>
        <v>0</v>
      </c>
      <c r="S10" s="189">
        <f t="shared" si="4"/>
        <v>0</v>
      </c>
    </row>
    <row r="11" spans="1:19" s="99" customFormat="1" ht="15.75" customHeight="1" x14ac:dyDescent="0.25">
      <c r="A11" s="96">
        <f>+A10+1</f>
        <v>4</v>
      </c>
      <c r="B11" s="97" t="s">
        <v>44</v>
      </c>
      <c r="C11" s="98">
        <v>0.51</v>
      </c>
      <c r="D11" s="96"/>
      <c r="E11" s="98">
        <f t="shared" si="2"/>
        <v>0.51</v>
      </c>
      <c r="F11" s="96"/>
      <c r="G11" s="98">
        <f t="shared" si="0"/>
        <v>0.51</v>
      </c>
      <c r="H11" s="96"/>
      <c r="I11" s="98">
        <f>VLOOKUP(B11,'fixed cost'!$B$4:$R$116,17,0)</f>
        <v>0</v>
      </c>
      <c r="J11" s="96"/>
      <c r="K11" s="96"/>
      <c r="L11" s="96"/>
      <c r="M11" s="96"/>
      <c r="N11" s="96"/>
      <c r="O11" s="98">
        <f t="shared" si="1"/>
        <v>0.51</v>
      </c>
      <c r="Q11" s="99">
        <v>0.51</v>
      </c>
      <c r="R11" s="188">
        <f t="shared" si="3"/>
        <v>0</v>
      </c>
      <c r="S11" s="189">
        <f t="shared" si="4"/>
        <v>0</v>
      </c>
    </row>
    <row r="12" spans="1:19" s="99" customFormat="1" ht="15.75" customHeight="1" x14ac:dyDescent="0.25">
      <c r="A12" s="96">
        <f>+A11+1</f>
        <v>5</v>
      </c>
      <c r="B12" s="97" t="s">
        <v>39</v>
      </c>
      <c r="C12" s="98">
        <v>0.80600000000000005</v>
      </c>
      <c r="D12" s="96"/>
      <c r="E12" s="98">
        <f t="shared" si="2"/>
        <v>0.80600000000000005</v>
      </c>
      <c r="F12" s="96"/>
      <c r="G12" s="98">
        <f t="shared" si="0"/>
        <v>0.80600000000000005</v>
      </c>
      <c r="H12" s="96"/>
      <c r="I12" s="98">
        <f>VLOOKUP(B12,'fixed cost'!$B$4:$R$116,17,0)</f>
        <v>0</v>
      </c>
      <c r="J12" s="96"/>
      <c r="K12" s="96"/>
      <c r="L12" s="96"/>
      <c r="M12" s="96"/>
      <c r="N12" s="96"/>
      <c r="O12" s="98">
        <f t="shared" si="1"/>
        <v>0.80600000000000005</v>
      </c>
      <c r="Q12" s="99">
        <v>0.80600000000000005</v>
      </c>
      <c r="R12" s="188">
        <f t="shared" si="3"/>
        <v>0</v>
      </c>
      <c r="S12" s="189">
        <f t="shared" si="4"/>
        <v>0</v>
      </c>
    </row>
    <row r="13" spans="1:19" s="99" customFormat="1" ht="15.75" customHeight="1" x14ac:dyDescent="0.25">
      <c r="A13" s="96">
        <f>+A12+1</f>
        <v>6</v>
      </c>
      <c r="B13" s="97" t="s">
        <v>47</v>
      </c>
      <c r="C13" s="98">
        <v>0.17899999999999999</v>
      </c>
      <c r="D13" s="96"/>
      <c r="E13" s="98">
        <f t="shared" si="2"/>
        <v>0.17899999999999999</v>
      </c>
      <c r="F13" s="96"/>
      <c r="G13" s="98">
        <f t="shared" si="0"/>
        <v>0.17899999999999999</v>
      </c>
      <c r="H13" s="96"/>
      <c r="I13" s="98">
        <f>VLOOKUP(B13,'fixed cost'!$B$4:$R$116,17,0)</f>
        <v>0</v>
      </c>
      <c r="J13" s="96"/>
      <c r="K13" s="96"/>
      <c r="L13" s="96"/>
      <c r="M13" s="96"/>
      <c r="N13" s="96"/>
      <c r="O13" s="98">
        <f t="shared" si="1"/>
        <v>0.17899999999999999</v>
      </c>
      <c r="Q13" s="99">
        <v>0.17899999999999999</v>
      </c>
      <c r="R13" s="188">
        <f t="shared" si="3"/>
        <v>0</v>
      </c>
      <c r="S13" s="189">
        <f t="shared" si="4"/>
        <v>0</v>
      </c>
    </row>
    <row r="14" spans="1:19" s="99" customFormat="1" ht="15.75" customHeight="1" x14ac:dyDescent="0.25">
      <c r="A14" s="96">
        <f>+A13+1</f>
        <v>7</v>
      </c>
      <c r="B14" s="97" t="s">
        <v>41</v>
      </c>
      <c r="C14" s="98">
        <v>0.59899999999999998</v>
      </c>
      <c r="D14" s="96"/>
      <c r="E14" s="98">
        <f t="shared" si="2"/>
        <v>0.59899999999999998</v>
      </c>
      <c r="F14" s="96"/>
      <c r="G14" s="98">
        <f t="shared" si="0"/>
        <v>0.59899999999999998</v>
      </c>
      <c r="H14" s="96"/>
      <c r="I14" s="98">
        <f>VLOOKUP(B14,'fixed cost'!$B$4:$R$116,17,0)</f>
        <v>0</v>
      </c>
      <c r="J14" s="96"/>
      <c r="K14" s="96"/>
      <c r="L14" s="96"/>
      <c r="M14" s="96"/>
      <c r="N14" s="96"/>
      <c r="O14" s="98">
        <f t="shared" si="1"/>
        <v>0.59899999999999998</v>
      </c>
      <c r="Q14" s="99">
        <v>0.59899999999999998</v>
      </c>
      <c r="R14" s="188">
        <f t="shared" si="3"/>
        <v>0</v>
      </c>
      <c r="S14" s="189">
        <f t="shared" si="4"/>
        <v>0</v>
      </c>
    </row>
    <row r="15" spans="1:19" x14ac:dyDescent="0.25">
      <c r="A15" s="2">
        <v>8</v>
      </c>
      <c r="B15" s="4" t="s">
        <v>126</v>
      </c>
      <c r="C15" s="1">
        <v>3.9889999999999999</v>
      </c>
      <c r="D15" s="1"/>
      <c r="E15" s="1">
        <f t="shared" si="2"/>
        <v>3.9889999999999999</v>
      </c>
      <c r="F15" s="7"/>
      <c r="G15" s="1">
        <f t="shared" si="0"/>
        <v>3.9889999999999999</v>
      </c>
      <c r="H15" s="5">
        <v>0.15</v>
      </c>
      <c r="I15" s="1" t="e">
        <f>VLOOKUP(B15,'fixed cost'!$B$4:$R$116,17,0)</f>
        <v>#N/A</v>
      </c>
      <c r="J15" s="2"/>
      <c r="K15" s="2"/>
      <c r="L15" s="2"/>
      <c r="M15" s="2"/>
      <c r="N15" s="2"/>
      <c r="O15" s="1" t="e">
        <f t="shared" si="1"/>
        <v>#N/A</v>
      </c>
      <c r="Q15" s="3">
        <v>3.9889999999999999</v>
      </c>
      <c r="R15" s="188">
        <f t="shared" si="3"/>
        <v>0</v>
      </c>
      <c r="S15" s="189">
        <f t="shared" si="4"/>
        <v>0</v>
      </c>
    </row>
    <row r="16" spans="1:19" ht="15.75" customHeight="1" x14ac:dyDescent="0.25">
      <c r="A16" s="2">
        <v>9</v>
      </c>
      <c r="B16" s="4" t="s">
        <v>127</v>
      </c>
      <c r="C16" s="1">
        <v>3.28</v>
      </c>
      <c r="D16" s="1"/>
      <c r="E16" s="1">
        <f t="shared" si="2"/>
        <v>3.28</v>
      </c>
      <c r="F16" s="7"/>
      <c r="G16" s="1">
        <f t="shared" si="0"/>
        <v>3.28</v>
      </c>
      <c r="H16" s="5">
        <v>0.15</v>
      </c>
      <c r="I16" s="1">
        <f>VLOOKUP(B16,'fixed cost'!$B$4:$R$116,17,0)</f>
        <v>8.0009999999999998E-2</v>
      </c>
      <c r="J16" s="2"/>
      <c r="K16" s="2"/>
      <c r="L16" s="2"/>
      <c r="M16" s="2"/>
      <c r="N16" s="2"/>
      <c r="O16" s="1">
        <f t="shared" si="1"/>
        <v>3.5100099999999999</v>
      </c>
      <c r="Q16" s="3">
        <v>3.786</v>
      </c>
      <c r="R16" s="188">
        <f t="shared" si="3"/>
        <v>-0.50600000000000023</v>
      </c>
      <c r="S16" s="189">
        <f t="shared" si="4"/>
        <v>-0.13365029054410993</v>
      </c>
    </row>
    <row r="17" spans="1:19" s="65" customFormat="1" ht="15.75" customHeight="1" x14ac:dyDescent="0.25">
      <c r="A17" s="62">
        <v>10</v>
      </c>
      <c r="B17" s="63" t="s">
        <v>187</v>
      </c>
      <c r="C17" s="64">
        <v>2.7450000000000001</v>
      </c>
      <c r="D17" s="64"/>
      <c r="E17" s="64">
        <f t="shared" si="2"/>
        <v>2.7450000000000001</v>
      </c>
      <c r="F17" s="178">
        <v>3.1600000000000003E-2</v>
      </c>
      <c r="G17" s="64">
        <f t="shared" si="0"/>
        <v>2.8345724907063197</v>
      </c>
      <c r="H17" s="179"/>
      <c r="I17" s="64">
        <f>VLOOKUP(B17,'fixed cost'!$B$4:$R$116,17,0)</f>
        <v>0</v>
      </c>
      <c r="J17" s="62"/>
      <c r="K17" s="62">
        <v>2.4E-2</v>
      </c>
      <c r="L17" s="62"/>
      <c r="M17" s="62"/>
      <c r="N17" s="62"/>
      <c r="O17" s="64">
        <f t="shared" si="1"/>
        <v>2.8585724907063197</v>
      </c>
      <c r="Q17" s="65">
        <v>2.7450000000000001</v>
      </c>
      <c r="R17" s="188">
        <f t="shared" si="3"/>
        <v>0</v>
      </c>
      <c r="S17" s="189">
        <f t="shared" si="4"/>
        <v>0</v>
      </c>
    </row>
    <row r="18" spans="1:19" ht="15.75" customHeight="1" x14ac:dyDescent="0.25">
      <c r="A18" s="2">
        <v>11</v>
      </c>
      <c r="B18" s="4" t="s">
        <v>188</v>
      </c>
      <c r="C18" s="1">
        <v>4.3070000000000004</v>
      </c>
      <c r="D18" s="1"/>
      <c r="E18" s="1">
        <f t="shared" si="2"/>
        <v>4.3070000000000004</v>
      </c>
      <c r="F18" s="7">
        <f>F17</f>
        <v>3.1600000000000003E-2</v>
      </c>
      <c r="G18" s="1">
        <f t="shared" si="0"/>
        <v>4.4475423378769108</v>
      </c>
      <c r="H18" s="5"/>
      <c r="I18" s="1">
        <f>VLOOKUP(B18,'fixed cost'!$B$4:$R$116,17,0)</f>
        <v>0</v>
      </c>
      <c r="J18" s="2"/>
      <c r="K18" s="2">
        <v>0</v>
      </c>
      <c r="L18" s="2"/>
      <c r="M18" s="2"/>
      <c r="N18" s="2"/>
      <c r="O18" s="1">
        <f t="shared" si="1"/>
        <v>4.4475423378769108</v>
      </c>
      <c r="Q18" s="3">
        <v>5.12</v>
      </c>
      <c r="R18" s="188">
        <f t="shared" si="3"/>
        <v>-0.81299999999999972</v>
      </c>
      <c r="S18" s="189">
        <f t="shared" si="4"/>
        <v>-0.15878906249999994</v>
      </c>
    </row>
    <row r="19" spans="1:19" s="27" customFormat="1" ht="15.75" customHeight="1" x14ac:dyDescent="0.25">
      <c r="A19" s="2">
        <v>12</v>
      </c>
      <c r="B19" s="4" t="s">
        <v>107</v>
      </c>
      <c r="C19" s="1">
        <v>2.4489999999999998</v>
      </c>
      <c r="D19" s="1"/>
      <c r="E19" s="1">
        <f t="shared" si="2"/>
        <v>2.4489999999999998</v>
      </c>
      <c r="F19" s="7">
        <f t="shared" ref="F19:F29" si="5">F18</f>
        <v>3.1600000000000003E-2</v>
      </c>
      <c r="G19" s="1">
        <f t="shared" si="0"/>
        <v>2.5289136720363485</v>
      </c>
      <c r="H19" s="2">
        <v>0.15</v>
      </c>
      <c r="I19" s="1" t="e">
        <f>VLOOKUP(B19,'fixed cost'!$B$4:$R$116,17,0)</f>
        <v>#N/A</v>
      </c>
      <c r="J19" s="5"/>
      <c r="K19" s="1"/>
      <c r="L19" s="1"/>
      <c r="M19" s="2"/>
      <c r="N19" s="2"/>
      <c r="O19" s="1" t="e">
        <f t="shared" si="1"/>
        <v>#N/A</v>
      </c>
      <c r="Q19" s="27">
        <v>2.3780000000000001</v>
      </c>
      <c r="R19" s="188">
        <f t="shared" si="3"/>
        <v>7.099999999999973E-2</v>
      </c>
      <c r="S19" s="189">
        <f t="shared" si="4"/>
        <v>2.9857022708158001E-2</v>
      </c>
    </row>
    <row r="20" spans="1:19" ht="15.75" customHeight="1" x14ac:dyDescent="0.25">
      <c r="A20" s="2">
        <v>13</v>
      </c>
      <c r="B20" s="4" t="s">
        <v>169</v>
      </c>
      <c r="C20" s="1">
        <v>4.8739999999999997</v>
      </c>
      <c r="D20" s="9"/>
      <c r="E20" s="1">
        <f t="shared" si="2"/>
        <v>4.8739999999999997</v>
      </c>
      <c r="F20" s="7">
        <f t="shared" si="5"/>
        <v>3.1600000000000003E-2</v>
      </c>
      <c r="G20" s="1">
        <f t="shared" si="0"/>
        <v>5.0330441966129689</v>
      </c>
      <c r="H20" s="2">
        <v>0.15</v>
      </c>
      <c r="I20" s="1">
        <f>VLOOKUP(B20,'fixed cost'!$B$4:$R$116,17,0)</f>
        <v>5.8995000000000006E-2</v>
      </c>
      <c r="J20" s="2"/>
      <c r="K20" s="2"/>
      <c r="L20" s="2"/>
      <c r="M20" s="2"/>
      <c r="N20" s="2"/>
      <c r="O20" s="1">
        <f t="shared" si="1"/>
        <v>5.2420391966129696</v>
      </c>
      <c r="Q20" s="3">
        <v>4.2489999999999997</v>
      </c>
      <c r="R20" s="188">
        <f t="shared" si="3"/>
        <v>0.625</v>
      </c>
      <c r="S20" s="189">
        <f t="shared" si="4"/>
        <v>0.14709343374911746</v>
      </c>
    </row>
    <row r="21" spans="1:19" s="27" customFormat="1" ht="15.75" customHeight="1" x14ac:dyDescent="0.25">
      <c r="A21" s="66">
        <f>A20+1</f>
        <v>14</v>
      </c>
      <c r="B21" s="46" t="s">
        <v>169</v>
      </c>
      <c r="C21" s="67">
        <f>C20</f>
        <v>4.8739999999999997</v>
      </c>
      <c r="D21" s="68">
        <f>D20</f>
        <v>0</v>
      </c>
      <c r="E21" s="67">
        <f t="shared" si="2"/>
        <v>4.8739999999999997</v>
      </c>
      <c r="F21" s="184">
        <f t="shared" si="5"/>
        <v>3.1600000000000003E-2</v>
      </c>
      <c r="G21" s="67">
        <f t="shared" si="0"/>
        <v>5.0330441966129689</v>
      </c>
      <c r="H21" s="66">
        <f>H20</f>
        <v>0.15</v>
      </c>
      <c r="I21" s="67">
        <f>VLOOKUP(B21,'fixed cost'!$B$4:$R$116,17,0)</f>
        <v>5.8995000000000006E-2</v>
      </c>
      <c r="J21" s="66"/>
      <c r="K21" s="66"/>
      <c r="L21" s="66"/>
      <c r="M21" s="67">
        <f>VLOOKUP(B21,'fixed cost'!$B$4:$H$59,7,0)</f>
        <v>2.0601461379581085</v>
      </c>
      <c r="N21" s="67"/>
      <c r="O21" s="67">
        <f t="shared" si="1"/>
        <v>7.3021853345710781</v>
      </c>
      <c r="Q21" s="27">
        <v>4.2489999999999997</v>
      </c>
      <c r="R21" s="188">
        <f t="shared" si="3"/>
        <v>0.625</v>
      </c>
      <c r="S21" s="189">
        <f t="shared" si="4"/>
        <v>0.14709343374911746</v>
      </c>
    </row>
    <row r="22" spans="1:19" s="65" customFormat="1" ht="15.75" customHeight="1" x14ac:dyDescent="0.25">
      <c r="A22" s="62">
        <f>A21+1</f>
        <v>15</v>
      </c>
      <c r="B22" s="63" t="s">
        <v>23</v>
      </c>
      <c r="C22" s="64">
        <v>1.595</v>
      </c>
      <c r="D22" s="185"/>
      <c r="E22" s="64">
        <f t="shared" si="2"/>
        <v>1.595</v>
      </c>
      <c r="F22" s="178">
        <f t="shared" si="5"/>
        <v>3.1600000000000003E-2</v>
      </c>
      <c r="G22" s="64">
        <f t="shared" si="0"/>
        <v>1.6470466749277157</v>
      </c>
      <c r="H22" s="62"/>
      <c r="I22" s="64">
        <f>VLOOKUP(B22,'fixed cost'!$B$4:$R$116,17,0)</f>
        <v>0</v>
      </c>
      <c r="J22" s="62"/>
      <c r="K22" s="62"/>
      <c r="L22" s="62"/>
      <c r="M22" s="62"/>
      <c r="N22" s="62"/>
      <c r="O22" s="64">
        <f t="shared" si="1"/>
        <v>1.6470466749277157</v>
      </c>
      <c r="Q22" s="65">
        <v>1.595</v>
      </c>
      <c r="R22" s="188">
        <f t="shared" si="3"/>
        <v>0</v>
      </c>
      <c r="S22" s="189">
        <f t="shared" si="4"/>
        <v>0</v>
      </c>
    </row>
    <row r="23" spans="1:19" s="65" customFormat="1" ht="15.75" customHeight="1" x14ac:dyDescent="0.25">
      <c r="A23" s="62">
        <f t="shared" ref="A23:A46" si="6">A22+1</f>
        <v>16</v>
      </c>
      <c r="B23" s="63" t="s">
        <v>23</v>
      </c>
      <c r="C23" s="64">
        <f>C22</f>
        <v>1.595</v>
      </c>
      <c r="D23" s="185">
        <f>D22</f>
        <v>0</v>
      </c>
      <c r="E23" s="64">
        <f t="shared" si="2"/>
        <v>1.595</v>
      </c>
      <c r="F23" s="178">
        <f t="shared" si="5"/>
        <v>3.1600000000000003E-2</v>
      </c>
      <c r="G23" s="64">
        <f t="shared" si="0"/>
        <v>1.6470466749277157</v>
      </c>
      <c r="H23" s="62"/>
      <c r="I23" s="64">
        <f>VLOOKUP(B23,'fixed cost'!$B$4:$R$116,17,0)</f>
        <v>0</v>
      </c>
      <c r="J23" s="62"/>
      <c r="K23" s="62"/>
      <c r="L23" s="62"/>
      <c r="M23" s="64">
        <f>VLOOKUP(B23,'fixed cost'!$B$4:$H$59,7,0)</f>
        <v>1.046590227201031</v>
      </c>
      <c r="N23" s="64"/>
      <c r="O23" s="64">
        <f t="shared" si="1"/>
        <v>2.6936369021287465</v>
      </c>
      <c r="Q23" s="65">
        <v>1.595</v>
      </c>
      <c r="R23" s="188">
        <f t="shared" si="3"/>
        <v>0</v>
      </c>
      <c r="S23" s="189">
        <f t="shared" si="4"/>
        <v>0</v>
      </c>
    </row>
    <row r="24" spans="1:19" s="65" customFormat="1" ht="15.75" customHeight="1" x14ac:dyDescent="0.25">
      <c r="A24" s="62">
        <f>A23+1</f>
        <v>17</v>
      </c>
      <c r="B24" s="63" t="s">
        <v>181</v>
      </c>
      <c r="C24" s="64">
        <v>13.61</v>
      </c>
      <c r="D24" s="64"/>
      <c r="E24" s="64">
        <f t="shared" si="2"/>
        <v>13.61</v>
      </c>
      <c r="F24" s="178">
        <f t="shared" si="5"/>
        <v>3.1600000000000003E-2</v>
      </c>
      <c r="G24" s="64">
        <f t="shared" si="0"/>
        <v>14.054109871953736</v>
      </c>
      <c r="H24" s="179"/>
      <c r="I24" s="64">
        <f>VLOOKUP(B24,'fixed cost'!$B$4:$R$116,17,0)</f>
        <v>0</v>
      </c>
      <c r="J24" s="62"/>
      <c r="K24" s="62"/>
      <c r="L24" s="62"/>
      <c r="M24" s="64"/>
      <c r="N24" s="64"/>
      <c r="O24" s="64">
        <f t="shared" si="1"/>
        <v>14.054109871953736</v>
      </c>
      <c r="Q24" s="65">
        <v>13.61</v>
      </c>
      <c r="R24" s="188">
        <f t="shared" si="3"/>
        <v>0</v>
      </c>
      <c r="S24" s="189">
        <f t="shared" si="4"/>
        <v>0</v>
      </c>
    </row>
    <row r="25" spans="1:19" s="65" customFormat="1" ht="15.75" customHeight="1" x14ac:dyDescent="0.25">
      <c r="A25" s="62">
        <f t="shared" si="6"/>
        <v>18</v>
      </c>
      <c r="B25" s="63" t="s">
        <v>181</v>
      </c>
      <c r="C25" s="64">
        <f>C24</f>
        <v>13.61</v>
      </c>
      <c r="D25" s="64">
        <f>D24</f>
        <v>0</v>
      </c>
      <c r="E25" s="64">
        <f t="shared" si="2"/>
        <v>13.61</v>
      </c>
      <c r="F25" s="178">
        <f t="shared" si="5"/>
        <v>3.1600000000000003E-2</v>
      </c>
      <c r="G25" s="64">
        <f t="shared" si="0"/>
        <v>14.054109871953736</v>
      </c>
      <c r="H25" s="62"/>
      <c r="I25" s="64">
        <f>VLOOKUP(B25,'fixed cost'!$B$4:$R$116,17,0)</f>
        <v>0</v>
      </c>
      <c r="J25" s="62"/>
      <c r="K25" s="62"/>
      <c r="L25" s="62"/>
      <c r="M25" s="64">
        <f>VLOOKUP(B25,'fixed cost'!$B$4:$H$59,7,0)</f>
        <v>1.046590227201031</v>
      </c>
      <c r="N25" s="64"/>
      <c r="O25" s="64">
        <f t="shared" si="1"/>
        <v>15.100700099154768</v>
      </c>
      <c r="Q25" s="65">
        <v>13.61</v>
      </c>
      <c r="R25" s="188">
        <f t="shared" si="3"/>
        <v>0</v>
      </c>
      <c r="S25" s="189">
        <f t="shared" si="4"/>
        <v>0</v>
      </c>
    </row>
    <row r="26" spans="1:19" s="65" customFormat="1" ht="15.75" customHeight="1" x14ac:dyDescent="0.25">
      <c r="A26" s="62">
        <f>A25+1</f>
        <v>19</v>
      </c>
      <c r="B26" s="63" t="s">
        <v>104</v>
      </c>
      <c r="C26" s="64">
        <v>12.861000000000001</v>
      </c>
      <c r="D26" s="64">
        <v>1.2544999999999999</v>
      </c>
      <c r="E26" s="64">
        <f t="shared" si="2"/>
        <v>14.115500000000001</v>
      </c>
      <c r="F26" s="178">
        <f t="shared" si="5"/>
        <v>3.1600000000000003E-2</v>
      </c>
      <c r="G26" s="64">
        <f t="shared" si="0"/>
        <v>14.576104915324246</v>
      </c>
      <c r="H26" s="179"/>
      <c r="I26" s="64">
        <f>VLOOKUP(B26,'fixed cost'!$B$4:$R$116,17,0)</f>
        <v>0</v>
      </c>
      <c r="J26" s="62"/>
      <c r="K26" s="62"/>
      <c r="L26" s="62"/>
      <c r="M26" s="64"/>
      <c r="N26" s="64"/>
      <c r="O26" s="64">
        <f t="shared" si="1"/>
        <v>14.576104915324246</v>
      </c>
      <c r="Q26" s="65">
        <v>12.548999999999999</v>
      </c>
      <c r="R26" s="188">
        <f t="shared" si="3"/>
        <v>0.31200000000000117</v>
      </c>
      <c r="S26" s="189">
        <f t="shared" si="4"/>
        <v>2.4862538847717042E-2</v>
      </c>
    </row>
    <row r="27" spans="1:19" s="65" customFormat="1" ht="15.75" customHeight="1" x14ac:dyDescent="0.25">
      <c r="A27" s="62">
        <f t="shared" si="6"/>
        <v>20</v>
      </c>
      <c r="B27" s="63" t="s">
        <v>104</v>
      </c>
      <c r="C27" s="64">
        <f>C26</f>
        <v>12.861000000000001</v>
      </c>
      <c r="D27" s="64">
        <f>D26</f>
        <v>1.2544999999999999</v>
      </c>
      <c r="E27" s="64">
        <f t="shared" si="2"/>
        <v>14.115500000000001</v>
      </c>
      <c r="F27" s="178">
        <f t="shared" si="5"/>
        <v>3.1600000000000003E-2</v>
      </c>
      <c r="G27" s="64">
        <f t="shared" si="0"/>
        <v>14.576104915324246</v>
      </c>
      <c r="H27" s="62"/>
      <c r="I27" s="64">
        <f>VLOOKUP(B27,'fixed cost'!$B$4:$R$116,17,0)</f>
        <v>0</v>
      </c>
      <c r="J27" s="62"/>
      <c r="K27" s="62"/>
      <c r="L27" s="62"/>
      <c r="M27" s="64">
        <f>VLOOKUP(B27,'fixed cost'!$B$4:$H$59,7,0)</f>
        <v>1.046590227201031</v>
      </c>
      <c r="N27" s="64"/>
      <c r="O27" s="64">
        <f t="shared" si="1"/>
        <v>15.622695142525277</v>
      </c>
      <c r="Q27" s="65">
        <v>12.548999999999999</v>
      </c>
      <c r="R27" s="188">
        <f t="shared" si="3"/>
        <v>0.31200000000000117</v>
      </c>
      <c r="S27" s="189">
        <f t="shared" si="4"/>
        <v>2.4862538847717042E-2</v>
      </c>
    </row>
    <row r="28" spans="1:19" s="65" customFormat="1" ht="15.75" customHeight="1" x14ac:dyDescent="0.25">
      <c r="A28" s="62">
        <f t="shared" si="6"/>
        <v>21</v>
      </c>
      <c r="B28" s="63" t="s">
        <v>17</v>
      </c>
      <c r="C28" s="64">
        <v>24.556999999999999</v>
      </c>
      <c r="D28" s="64"/>
      <c r="E28" s="64">
        <f t="shared" si="2"/>
        <v>24.556999999999999</v>
      </c>
      <c r="F28" s="178">
        <f t="shared" si="5"/>
        <v>3.1600000000000003E-2</v>
      </c>
      <c r="G28" s="64">
        <f t="shared" si="0"/>
        <v>25.358323007021891</v>
      </c>
      <c r="H28" s="179"/>
      <c r="I28" s="64">
        <f>VLOOKUP(B28,'fixed cost'!$B$4:$R$116,17,0)</f>
        <v>0</v>
      </c>
      <c r="J28" s="62"/>
      <c r="K28" s="62"/>
      <c r="L28" s="62"/>
      <c r="M28" s="64"/>
      <c r="N28" s="64"/>
      <c r="O28" s="64">
        <f t="shared" si="1"/>
        <v>25.358323007021891</v>
      </c>
      <c r="Q28" s="65">
        <v>18.946000000000002</v>
      </c>
      <c r="R28" s="188">
        <f t="shared" si="3"/>
        <v>5.6109999999999971</v>
      </c>
      <c r="S28" s="189">
        <f t="shared" si="4"/>
        <v>0.29615750026390775</v>
      </c>
    </row>
    <row r="29" spans="1:19" s="65" customFormat="1" ht="15.75" customHeight="1" x14ac:dyDescent="0.25">
      <c r="A29" s="62">
        <f t="shared" si="6"/>
        <v>22</v>
      </c>
      <c r="B29" s="63" t="s">
        <v>17</v>
      </c>
      <c r="C29" s="64">
        <f>C28</f>
        <v>24.556999999999999</v>
      </c>
      <c r="D29" s="185">
        <f>D28</f>
        <v>0</v>
      </c>
      <c r="E29" s="64">
        <f t="shared" si="2"/>
        <v>24.556999999999999</v>
      </c>
      <c r="F29" s="178">
        <f t="shared" si="5"/>
        <v>3.1600000000000003E-2</v>
      </c>
      <c r="G29" s="64">
        <f t="shared" si="0"/>
        <v>25.358323007021891</v>
      </c>
      <c r="H29" s="62"/>
      <c r="I29" s="64">
        <f>VLOOKUP(B29,'fixed cost'!$B$4:$R$116,17,0)</f>
        <v>0</v>
      </c>
      <c r="J29" s="62"/>
      <c r="K29" s="62"/>
      <c r="L29" s="62"/>
      <c r="M29" s="64">
        <f>VLOOKUP(B29,'fixed cost'!$B$4:$H$59,7,0)</f>
        <v>1.046590227201031</v>
      </c>
      <c r="N29" s="64"/>
      <c r="O29" s="64">
        <f t="shared" si="1"/>
        <v>26.404913234222921</v>
      </c>
      <c r="Q29" s="65">
        <v>18.946000000000002</v>
      </c>
      <c r="R29" s="188">
        <f t="shared" si="3"/>
        <v>5.6109999999999971</v>
      </c>
      <c r="S29" s="189">
        <f t="shared" si="4"/>
        <v>0.29615750026390775</v>
      </c>
    </row>
    <row r="30" spans="1:19" s="99" customFormat="1" ht="15.75" customHeight="1" x14ac:dyDescent="0.25">
      <c r="A30" s="96">
        <f t="shared" si="6"/>
        <v>23</v>
      </c>
      <c r="B30" s="97" t="s">
        <v>46</v>
      </c>
      <c r="C30" s="98">
        <v>0.20300000000000001</v>
      </c>
      <c r="D30" s="96"/>
      <c r="E30" s="98">
        <f t="shared" si="2"/>
        <v>0.20300000000000001</v>
      </c>
      <c r="F30" s="96"/>
      <c r="G30" s="98">
        <f t="shared" si="0"/>
        <v>0.20300000000000001</v>
      </c>
      <c r="H30" s="96"/>
      <c r="I30" s="98">
        <f>VLOOKUP(B30,'fixed cost'!$B$4:$R$116,17,0)</f>
        <v>0</v>
      </c>
      <c r="J30" s="96"/>
      <c r="K30" s="96"/>
      <c r="L30" s="96"/>
      <c r="M30" s="96"/>
      <c r="N30" s="96"/>
      <c r="O30" s="98">
        <f t="shared" si="1"/>
        <v>0.20300000000000001</v>
      </c>
      <c r="Q30" s="99">
        <v>0.20300000000000001</v>
      </c>
      <c r="R30" s="188">
        <f t="shared" si="3"/>
        <v>0</v>
      </c>
      <c r="S30" s="189">
        <f t="shared" si="4"/>
        <v>0</v>
      </c>
    </row>
    <row r="31" spans="1:19" s="99" customFormat="1" ht="15.75" customHeight="1" x14ac:dyDescent="0.25">
      <c r="A31" s="96">
        <f t="shared" si="6"/>
        <v>24</v>
      </c>
      <c r="B31" s="97" t="s">
        <v>59</v>
      </c>
      <c r="C31" s="98">
        <f>((1.9*25)+(2.314*11))/(25+11)</f>
        <v>2.0265000000000004</v>
      </c>
      <c r="D31" s="96"/>
      <c r="E31" s="98">
        <f t="shared" si="2"/>
        <v>2.0265000000000004</v>
      </c>
      <c r="F31" s="96"/>
      <c r="G31" s="98">
        <f t="shared" si="0"/>
        <v>2.0265000000000004</v>
      </c>
      <c r="H31" s="96">
        <v>0.15</v>
      </c>
      <c r="I31" s="98">
        <f>'fixed cost'!R57</f>
        <v>8.8199999999999997E-3</v>
      </c>
      <c r="J31" s="96"/>
      <c r="K31" s="96"/>
      <c r="L31" s="96"/>
      <c r="M31" s="96"/>
      <c r="N31" s="96"/>
      <c r="O31" s="98">
        <f t="shared" si="1"/>
        <v>2.1853200000000004</v>
      </c>
      <c r="P31" s="99">
        <f>2.314+0.15</f>
        <v>2.464</v>
      </c>
      <c r="Q31" s="99">
        <v>2.0265000000000004</v>
      </c>
      <c r="R31" s="188">
        <f t="shared" si="3"/>
        <v>0</v>
      </c>
      <c r="S31" s="189">
        <f t="shared" si="4"/>
        <v>0</v>
      </c>
    </row>
    <row r="32" spans="1:19" s="99" customFormat="1" ht="15.75" customHeight="1" x14ac:dyDescent="0.25">
      <c r="A32" s="96">
        <f t="shared" si="6"/>
        <v>25</v>
      </c>
      <c r="B32" s="97" t="s">
        <v>67</v>
      </c>
      <c r="C32" s="98">
        <v>1.51</v>
      </c>
      <c r="D32" s="96"/>
      <c r="E32" s="98">
        <f t="shared" si="2"/>
        <v>1.51</v>
      </c>
      <c r="F32" s="96"/>
      <c r="G32" s="98">
        <f t="shared" si="0"/>
        <v>1.51</v>
      </c>
      <c r="H32" s="96"/>
      <c r="I32" s="98">
        <f>VLOOKUP(B32,'fixed cost'!$B$4:$R$116,17,0)</f>
        <v>0</v>
      </c>
      <c r="J32" s="96"/>
      <c r="K32" s="96"/>
      <c r="L32" s="96"/>
      <c r="M32" s="96"/>
      <c r="N32" s="96"/>
      <c r="O32" s="98">
        <f t="shared" si="1"/>
        <v>1.51</v>
      </c>
      <c r="Q32" s="99">
        <v>1.51</v>
      </c>
      <c r="R32" s="188">
        <f t="shared" si="3"/>
        <v>0</v>
      </c>
      <c r="S32" s="189">
        <f t="shared" si="4"/>
        <v>0</v>
      </c>
    </row>
    <row r="33" spans="1:19" s="57" customFormat="1" ht="15.75" customHeight="1" x14ac:dyDescent="0.25">
      <c r="A33" s="2">
        <f t="shared" si="6"/>
        <v>26</v>
      </c>
      <c r="B33" s="4" t="s">
        <v>98</v>
      </c>
      <c r="C33" s="1">
        <v>2.653</v>
      </c>
      <c r="D33" s="9"/>
      <c r="E33" s="1">
        <f t="shared" si="2"/>
        <v>2.653</v>
      </c>
      <c r="F33" s="7">
        <f>F29</f>
        <v>3.1600000000000003E-2</v>
      </c>
      <c r="G33" s="1">
        <f t="shared" si="0"/>
        <v>2.7395704254440312</v>
      </c>
      <c r="H33" s="5">
        <v>0.15</v>
      </c>
      <c r="I33" s="1">
        <f>VLOOKUP(B33,'fixed cost'!$B$4:$R$116,17,0)</f>
        <v>5.6350000000000011E-2</v>
      </c>
      <c r="J33" s="2"/>
      <c r="K33" s="2"/>
      <c r="L33" s="2"/>
      <c r="M33" s="1"/>
      <c r="N33" s="1"/>
      <c r="O33" s="1">
        <f t="shared" si="1"/>
        <v>2.9459204254440312</v>
      </c>
      <c r="Q33" s="57">
        <v>2.6240000000000001</v>
      </c>
      <c r="R33" s="188">
        <f t="shared" si="3"/>
        <v>2.8999999999999915E-2</v>
      </c>
      <c r="S33" s="189">
        <f t="shared" si="4"/>
        <v>1.1051829268292649E-2</v>
      </c>
    </row>
    <row r="34" spans="1:19" s="99" customFormat="1" ht="15.75" customHeight="1" x14ac:dyDescent="0.25">
      <c r="A34" s="96">
        <f t="shared" si="6"/>
        <v>27</v>
      </c>
      <c r="B34" s="97" t="s">
        <v>38</v>
      </c>
      <c r="C34" s="98">
        <v>0.60299999999999998</v>
      </c>
      <c r="D34" s="96"/>
      <c r="E34" s="98">
        <f t="shared" si="2"/>
        <v>0.60299999999999998</v>
      </c>
      <c r="F34" s="96"/>
      <c r="G34" s="98">
        <f t="shared" si="0"/>
        <v>0.60299999999999998</v>
      </c>
      <c r="H34" s="96"/>
      <c r="I34" s="98">
        <f>VLOOKUP(B34,'fixed cost'!$B$4:$R$116,17,0)</f>
        <v>0</v>
      </c>
      <c r="J34" s="96"/>
      <c r="K34" s="96"/>
      <c r="L34" s="96"/>
      <c r="M34" s="96"/>
      <c r="N34" s="96"/>
      <c r="O34" s="98">
        <f t="shared" si="1"/>
        <v>0.60299999999999998</v>
      </c>
      <c r="Q34" s="99">
        <v>0.60299999999999998</v>
      </c>
      <c r="R34" s="188">
        <f t="shared" si="3"/>
        <v>0</v>
      </c>
      <c r="S34" s="189">
        <f t="shared" si="4"/>
        <v>0</v>
      </c>
    </row>
    <row r="35" spans="1:19" ht="15.75" customHeight="1" x14ac:dyDescent="0.25">
      <c r="A35" s="2">
        <f t="shared" si="6"/>
        <v>28</v>
      </c>
      <c r="B35" s="4" t="s">
        <v>57</v>
      </c>
      <c r="C35" s="9">
        <v>3.3220000000000001</v>
      </c>
      <c r="D35" s="1"/>
      <c r="E35" s="1">
        <f t="shared" si="2"/>
        <v>3.3220000000000001</v>
      </c>
      <c r="F35" s="7"/>
      <c r="G35" s="1">
        <f t="shared" si="0"/>
        <v>3.3220000000000001</v>
      </c>
      <c r="H35" s="5">
        <v>0.15</v>
      </c>
      <c r="I35" s="1">
        <f>VLOOKUP(B35,'fixed cost'!$B$4:$R$116,17,0)</f>
        <v>6.4769999999999994E-2</v>
      </c>
      <c r="J35" s="2"/>
      <c r="K35" s="2"/>
      <c r="L35" s="2"/>
      <c r="M35" s="2"/>
      <c r="N35" s="2"/>
      <c r="O35" s="1">
        <f t="shared" si="1"/>
        <v>3.5367699999999997</v>
      </c>
      <c r="Q35" s="3">
        <v>3.14</v>
      </c>
      <c r="R35" s="188">
        <f t="shared" si="3"/>
        <v>0.18199999999999994</v>
      </c>
      <c r="S35" s="189">
        <f t="shared" si="4"/>
        <v>5.7961783439490426E-2</v>
      </c>
    </row>
    <row r="36" spans="1:19" s="27" customFormat="1" ht="15.75" customHeight="1" x14ac:dyDescent="0.25">
      <c r="A36" s="2">
        <f t="shared" si="6"/>
        <v>29</v>
      </c>
      <c r="B36" s="4" t="s">
        <v>56</v>
      </c>
      <c r="C36" s="50">
        <v>0.58199999999999996</v>
      </c>
      <c r="D36" s="1"/>
      <c r="E36" s="1">
        <f t="shared" si="2"/>
        <v>0.58199999999999996</v>
      </c>
      <c r="F36" s="7">
        <f>F33</f>
        <v>3.1600000000000003E-2</v>
      </c>
      <c r="G36" s="1">
        <f t="shared" si="0"/>
        <v>0.60099132589838899</v>
      </c>
      <c r="H36" s="5">
        <v>0.15</v>
      </c>
      <c r="I36" s="1">
        <f>VLOOKUP(B36,'fixed cost'!$B$4:$R$116,17,0)</f>
        <v>4.0004999999999999E-2</v>
      </c>
      <c r="J36" s="2"/>
      <c r="K36" s="2"/>
      <c r="L36" s="2"/>
      <c r="M36" s="2"/>
      <c r="N36" s="2"/>
      <c r="O36" s="1">
        <f t="shared" si="1"/>
        <v>0.79099632589838897</v>
      </c>
      <c r="Q36" s="27">
        <v>0.58299999999999996</v>
      </c>
      <c r="R36" s="188">
        <f t="shared" si="3"/>
        <v>-1.0000000000000009E-3</v>
      </c>
      <c r="S36" s="189">
        <f t="shared" si="4"/>
        <v>-1.7152658662092641E-3</v>
      </c>
    </row>
    <row r="37" spans="1:19" ht="15.75" customHeight="1" x14ac:dyDescent="0.25">
      <c r="A37" s="2">
        <f t="shared" si="6"/>
        <v>30</v>
      </c>
      <c r="B37" s="4" t="s">
        <v>27</v>
      </c>
      <c r="C37" s="1">
        <v>3.7879999999999998</v>
      </c>
      <c r="D37" s="1">
        <v>0.11600000000000001</v>
      </c>
      <c r="E37" s="1">
        <f t="shared" si="2"/>
        <v>3.9039999999999999</v>
      </c>
      <c r="F37" s="7">
        <f>F36</f>
        <v>3.1600000000000003E-2</v>
      </c>
      <c r="G37" s="1">
        <f t="shared" si="0"/>
        <v>4.0313919867823209</v>
      </c>
      <c r="H37" s="2"/>
      <c r="I37" s="1">
        <f>VLOOKUP(B37,'fixed cost'!$B$4:$R$116,17,0)</f>
        <v>0</v>
      </c>
      <c r="J37" s="2"/>
      <c r="K37" s="2"/>
      <c r="L37" s="2"/>
      <c r="M37" s="2"/>
      <c r="N37" s="2"/>
      <c r="O37" s="1">
        <f t="shared" si="1"/>
        <v>4.0313919867823209</v>
      </c>
      <c r="Q37" s="3">
        <v>3.6280000000000001</v>
      </c>
      <c r="R37" s="188">
        <f t="shared" si="3"/>
        <v>0.1599999999999997</v>
      </c>
      <c r="S37" s="189">
        <f t="shared" si="4"/>
        <v>4.4101433296582053E-2</v>
      </c>
    </row>
    <row r="38" spans="1:19" s="27" customFormat="1" ht="15.75" customHeight="1" x14ac:dyDescent="0.25">
      <c r="A38" s="66">
        <f t="shared" si="6"/>
        <v>31</v>
      </c>
      <c r="B38" s="46" t="s">
        <v>27</v>
      </c>
      <c r="C38" s="67">
        <f>C37</f>
        <v>3.7879999999999998</v>
      </c>
      <c r="D38" s="68">
        <f>D37</f>
        <v>0.11600000000000001</v>
      </c>
      <c r="E38" s="67">
        <f t="shared" si="2"/>
        <v>3.9039999999999999</v>
      </c>
      <c r="F38" s="184">
        <f t="shared" ref="F38:F61" si="7">F37</f>
        <v>3.1600000000000003E-2</v>
      </c>
      <c r="G38" s="67">
        <f t="shared" si="0"/>
        <v>4.0313919867823209</v>
      </c>
      <c r="H38" s="66"/>
      <c r="I38" s="67">
        <f>VLOOKUP(B38,'fixed cost'!$B$4:$R$116,17,0)</f>
        <v>0</v>
      </c>
      <c r="J38" s="66"/>
      <c r="K38" s="66"/>
      <c r="L38" s="66"/>
      <c r="M38" s="67">
        <f>VLOOKUP(B38,'fixed cost'!$B$4:$H$59,7,0)</f>
        <v>0.92016615713300831</v>
      </c>
      <c r="N38" s="67"/>
      <c r="O38" s="67">
        <f t="shared" si="1"/>
        <v>4.9515581439153289</v>
      </c>
      <c r="Q38" s="27">
        <v>3.6280000000000001</v>
      </c>
      <c r="R38" s="188">
        <f t="shared" si="3"/>
        <v>0.1599999999999997</v>
      </c>
      <c r="S38" s="189">
        <f t="shared" si="4"/>
        <v>4.4101433296582053E-2</v>
      </c>
    </row>
    <row r="39" spans="1:19" s="65" customFormat="1" ht="15.75" customHeight="1" x14ac:dyDescent="0.25">
      <c r="A39" s="62">
        <f t="shared" si="6"/>
        <v>32</v>
      </c>
      <c r="B39" s="63" t="s">
        <v>19</v>
      </c>
      <c r="C39" s="64">
        <v>1.597</v>
      </c>
      <c r="D39" s="64">
        <f>0.88/100</f>
        <v>8.8000000000000005E-3</v>
      </c>
      <c r="E39" s="64">
        <f t="shared" si="2"/>
        <v>1.6057999999999999</v>
      </c>
      <c r="F39" s="178">
        <f t="shared" si="7"/>
        <v>3.1600000000000003E-2</v>
      </c>
      <c r="G39" s="64">
        <f t="shared" si="0"/>
        <v>1.658199091284593</v>
      </c>
      <c r="H39" s="62"/>
      <c r="I39" s="64">
        <f>VLOOKUP(B39,'fixed cost'!$B$4:$R$116,17,0)</f>
        <v>0</v>
      </c>
      <c r="J39" s="62"/>
      <c r="K39" s="62"/>
      <c r="L39" s="62"/>
      <c r="M39" s="62"/>
      <c r="N39" s="62"/>
      <c r="O39" s="64">
        <f t="shared" si="1"/>
        <v>1.658199091284593</v>
      </c>
      <c r="Q39" s="65">
        <v>1.597</v>
      </c>
      <c r="R39" s="188">
        <f t="shared" si="3"/>
        <v>0</v>
      </c>
      <c r="S39" s="189">
        <f t="shared" si="4"/>
        <v>0</v>
      </c>
    </row>
    <row r="40" spans="1:19" s="65" customFormat="1" ht="15.75" customHeight="1" x14ac:dyDescent="0.25">
      <c r="A40" s="62">
        <f t="shared" si="6"/>
        <v>33</v>
      </c>
      <c r="B40" s="63" t="s">
        <v>19</v>
      </c>
      <c r="C40" s="64">
        <f>C39</f>
        <v>1.597</v>
      </c>
      <c r="D40" s="185">
        <f>D39</f>
        <v>8.8000000000000005E-3</v>
      </c>
      <c r="E40" s="64">
        <f t="shared" si="2"/>
        <v>1.6057999999999999</v>
      </c>
      <c r="F40" s="178">
        <f t="shared" si="7"/>
        <v>3.1600000000000003E-2</v>
      </c>
      <c r="G40" s="64">
        <f t="shared" si="0"/>
        <v>1.658199091284593</v>
      </c>
      <c r="H40" s="62"/>
      <c r="I40" s="64">
        <f>VLOOKUP(B40,'fixed cost'!$B$4:$R$116,17,0)</f>
        <v>0</v>
      </c>
      <c r="J40" s="62"/>
      <c r="K40" s="62"/>
      <c r="L40" s="62"/>
      <c r="M40" s="64">
        <f>VLOOKUP(B40,'fixed cost'!$B$4:$H$59,7,0)</f>
        <v>0.85915096311475081</v>
      </c>
      <c r="N40" s="64"/>
      <c r="O40" s="64">
        <f t="shared" si="1"/>
        <v>2.5173500543993437</v>
      </c>
      <c r="Q40" s="65">
        <v>1.597</v>
      </c>
      <c r="R40" s="188">
        <f t="shared" si="3"/>
        <v>0</v>
      </c>
      <c r="S40" s="189">
        <f t="shared" si="4"/>
        <v>0</v>
      </c>
    </row>
    <row r="41" spans="1:19" s="65" customFormat="1" ht="15.75" customHeight="1" x14ac:dyDescent="0.25">
      <c r="A41" s="62">
        <f>A40+1</f>
        <v>34</v>
      </c>
      <c r="B41" s="63" t="s">
        <v>182</v>
      </c>
      <c r="C41" s="64">
        <v>13.602</v>
      </c>
      <c r="D41" s="64"/>
      <c r="E41" s="64">
        <f t="shared" si="2"/>
        <v>13.602</v>
      </c>
      <c r="F41" s="178">
        <f t="shared" si="7"/>
        <v>3.1600000000000003E-2</v>
      </c>
      <c r="G41" s="64">
        <f t="shared" si="0"/>
        <v>14.045848822800496</v>
      </c>
      <c r="H41" s="179"/>
      <c r="I41" s="64">
        <f>VLOOKUP(B41,'fixed cost'!$B$4:$R$116,17,0)</f>
        <v>0</v>
      </c>
      <c r="J41" s="62"/>
      <c r="K41" s="62"/>
      <c r="L41" s="62"/>
      <c r="M41" s="64"/>
      <c r="N41" s="64"/>
      <c r="O41" s="64">
        <f t="shared" si="1"/>
        <v>14.045848822800496</v>
      </c>
      <c r="Q41" s="65">
        <v>13.602</v>
      </c>
      <c r="R41" s="188">
        <f t="shared" si="3"/>
        <v>0</v>
      </c>
      <c r="S41" s="189">
        <f t="shared" si="4"/>
        <v>0</v>
      </c>
    </row>
    <row r="42" spans="1:19" s="65" customFormat="1" ht="15.75" customHeight="1" x14ac:dyDescent="0.25">
      <c r="A42" s="62">
        <f t="shared" si="6"/>
        <v>35</v>
      </c>
      <c r="B42" s="63" t="s">
        <v>182</v>
      </c>
      <c r="C42" s="64">
        <f>C41</f>
        <v>13.602</v>
      </c>
      <c r="D42" s="185">
        <f>D41</f>
        <v>0</v>
      </c>
      <c r="E42" s="64">
        <f t="shared" si="2"/>
        <v>13.602</v>
      </c>
      <c r="F42" s="178">
        <f t="shared" si="7"/>
        <v>3.1600000000000003E-2</v>
      </c>
      <c r="G42" s="64">
        <f t="shared" si="0"/>
        <v>14.045848822800496</v>
      </c>
      <c r="H42" s="62"/>
      <c r="I42" s="64">
        <f>VLOOKUP(B42,'fixed cost'!$B$4:$R$116,17,0)</f>
        <v>0</v>
      </c>
      <c r="J42" s="62"/>
      <c r="K42" s="62"/>
      <c r="L42" s="62"/>
      <c r="M42" s="64">
        <f>VLOOKUP(B42,'fixed cost'!$B$4:$H$59,7,0)</f>
        <v>0.85915096311475081</v>
      </c>
      <c r="N42" s="64"/>
      <c r="O42" s="64">
        <f t="shared" si="1"/>
        <v>14.904999785915246</v>
      </c>
      <c r="Q42" s="65">
        <v>13.602</v>
      </c>
      <c r="R42" s="188">
        <f t="shared" si="3"/>
        <v>0</v>
      </c>
      <c r="S42" s="189">
        <f t="shared" si="4"/>
        <v>0</v>
      </c>
    </row>
    <row r="43" spans="1:19" s="65" customFormat="1" ht="15.75" customHeight="1" x14ac:dyDescent="0.25">
      <c r="A43" s="62">
        <f>A42+1</f>
        <v>36</v>
      </c>
      <c r="B43" s="63" t="s">
        <v>105</v>
      </c>
      <c r="C43" s="64">
        <v>13.038</v>
      </c>
      <c r="D43" s="64">
        <v>-8.9899999999999997E-3</v>
      </c>
      <c r="E43" s="64">
        <f t="shared" si="2"/>
        <v>13.02901</v>
      </c>
      <c r="F43" s="178">
        <f t="shared" si="7"/>
        <v>3.1600000000000003E-2</v>
      </c>
      <c r="G43" s="64">
        <f t="shared" si="0"/>
        <v>13.454161503510944</v>
      </c>
      <c r="H43" s="179"/>
      <c r="I43" s="64">
        <f>VLOOKUP(B43,'fixed cost'!$B$4:$R$116,17,0)</f>
        <v>0</v>
      </c>
      <c r="J43" s="62"/>
      <c r="K43" s="62"/>
      <c r="L43" s="62"/>
      <c r="M43" s="64"/>
      <c r="N43" s="64"/>
      <c r="O43" s="64">
        <f t="shared" si="1"/>
        <v>13.454161503510944</v>
      </c>
      <c r="Q43" s="65">
        <v>12.715</v>
      </c>
      <c r="R43" s="188">
        <f t="shared" si="3"/>
        <v>0.3230000000000004</v>
      </c>
      <c r="S43" s="189">
        <f t="shared" si="4"/>
        <v>2.5403067243413322E-2</v>
      </c>
    </row>
    <row r="44" spans="1:19" s="65" customFormat="1" ht="15.75" customHeight="1" x14ac:dyDescent="0.25">
      <c r="A44" s="62">
        <f t="shared" si="6"/>
        <v>37</v>
      </c>
      <c r="B44" s="63" t="s">
        <v>105</v>
      </c>
      <c r="C44" s="64">
        <f>C43</f>
        <v>13.038</v>
      </c>
      <c r="D44" s="185">
        <f>D43</f>
        <v>-8.9899999999999997E-3</v>
      </c>
      <c r="E44" s="64">
        <f t="shared" si="2"/>
        <v>13.02901</v>
      </c>
      <c r="F44" s="178">
        <f t="shared" si="7"/>
        <v>3.1600000000000003E-2</v>
      </c>
      <c r="G44" s="64">
        <f t="shared" si="0"/>
        <v>13.454161503510944</v>
      </c>
      <c r="H44" s="62"/>
      <c r="I44" s="64">
        <f>VLOOKUP(B44,'fixed cost'!$B$4:$R$116,17,0)</f>
        <v>0</v>
      </c>
      <c r="J44" s="62"/>
      <c r="K44" s="62"/>
      <c r="L44" s="62"/>
      <c r="M44" s="64">
        <f>VLOOKUP(B44,'fixed cost'!$B$4:$H$59,7,0)</f>
        <v>0.85915096311475081</v>
      </c>
      <c r="N44" s="64"/>
      <c r="O44" s="64">
        <f t="shared" si="1"/>
        <v>14.313312466625694</v>
      </c>
      <c r="Q44" s="65">
        <v>12.715</v>
      </c>
      <c r="R44" s="188">
        <f t="shared" si="3"/>
        <v>0.3230000000000004</v>
      </c>
      <c r="S44" s="189">
        <f t="shared" si="4"/>
        <v>2.5403067243413322E-2</v>
      </c>
    </row>
    <row r="45" spans="1:19" s="65" customFormat="1" ht="15.75" customHeight="1" x14ac:dyDescent="0.25">
      <c r="A45" s="62">
        <f t="shared" si="6"/>
        <v>38</v>
      </c>
      <c r="B45" s="63" t="s">
        <v>128</v>
      </c>
      <c r="C45" s="64">
        <v>17.686</v>
      </c>
      <c r="D45" s="64">
        <v>3.3233000000000001</v>
      </c>
      <c r="E45" s="64">
        <f t="shared" si="2"/>
        <v>21.0093</v>
      </c>
      <c r="F45" s="178">
        <f t="shared" si="7"/>
        <v>3.1600000000000003E-2</v>
      </c>
      <c r="G45" s="64">
        <f t="shared" si="0"/>
        <v>21.694857496902106</v>
      </c>
      <c r="H45" s="179"/>
      <c r="I45" s="64">
        <f>VLOOKUP(B45,'fixed cost'!$B$4:$R$116,17,0)</f>
        <v>0</v>
      </c>
      <c r="J45" s="62"/>
      <c r="K45" s="62"/>
      <c r="L45" s="62"/>
      <c r="M45" s="64"/>
      <c r="N45" s="64"/>
      <c r="O45" s="64">
        <f t="shared" si="1"/>
        <v>21.694857496902106</v>
      </c>
      <c r="Q45" s="65">
        <v>16.675999999999998</v>
      </c>
      <c r="R45" s="188">
        <f t="shared" si="3"/>
        <v>1.0100000000000016</v>
      </c>
      <c r="S45" s="189">
        <f t="shared" si="4"/>
        <v>6.0566082993523729E-2</v>
      </c>
    </row>
    <row r="46" spans="1:19" s="65" customFormat="1" ht="15.75" customHeight="1" x14ac:dyDescent="0.25">
      <c r="A46" s="62">
        <f t="shared" si="6"/>
        <v>39</v>
      </c>
      <c r="B46" s="63" t="s">
        <v>128</v>
      </c>
      <c r="C46" s="64">
        <f>C45</f>
        <v>17.686</v>
      </c>
      <c r="D46" s="185">
        <f>D45</f>
        <v>3.3233000000000001</v>
      </c>
      <c r="E46" s="64">
        <f t="shared" si="2"/>
        <v>21.0093</v>
      </c>
      <c r="F46" s="178">
        <f t="shared" si="7"/>
        <v>3.1600000000000003E-2</v>
      </c>
      <c r="G46" s="64">
        <f t="shared" si="0"/>
        <v>21.694857496902106</v>
      </c>
      <c r="H46" s="62"/>
      <c r="I46" s="64">
        <f>VLOOKUP(B46,'fixed cost'!$B$4:$R$116,17,0)</f>
        <v>0</v>
      </c>
      <c r="J46" s="62"/>
      <c r="K46" s="62"/>
      <c r="L46" s="62"/>
      <c r="M46" s="64">
        <f>M44</f>
        <v>0.85915096311475081</v>
      </c>
      <c r="N46" s="64"/>
      <c r="O46" s="64">
        <f t="shared" si="1"/>
        <v>22.554008460016856</v>
      </c>
      <c r="Q46" s="65">
        <v>16.675999999999998</v>
      </c>
      <c r="R46" s="188">
        <f t="shared" si="3"/>
        <v>1.0100000000000016</v>
      </c>
      <c r="S46" s="189">
        <f t="shared" si="4"/>
        <v>6.0566082993523729E-2</v>
      </c>
    </row>
    <row r="47" spans="1:19" s="65" customFormat="1" ht="15.75" customHeight="1" x14ac:dyDescent="0.25">
      <c r="A47" s="62">
        <f>A44+1</f>
        <v>38</v>
      </c>
      <c r="B47" s="63" t="s">
        <v>16</v>
      </c>
      <c r="C47" s="64">
        <v>24.782</v>
      </c>
      <c r="D47" s="64">
        <v>0.27400000000000002</v>
      </c>
      <c r="E47" s="64">
        <f t="shared" si="2"/>
        <v>25.056000000000001</v>
      </c>
      <c r="F47" s="178">
        <f t="shared" si="7"/>
        <v>3.1600000000000003E-2</v>
      </c>
      <c r="G47" s="64">
        <f t="shared" si="0"/>
        <v>25.87360594795539</v>
      </c>
      <c r="H47" s="179"/>
      <c r="I47" s="64">
        <f>VLOOKUP(B47,'fixed cost'!$B$4:$R$116,17,0)</f>
        <v>0</v>
      </c>
      <c r="J47" s="62"/>
      <c r="K47" s="62"/>
      <c r="L47" s="62"/>
      <c r="M47" s="64"/>
      <c r="N47" s="64"/>
      <c r="O47" s="64">
        <f t="shared" si="1"/>
        <v>25.87360594795539</v>
      </c>
      <c r="Q47" s="65">
        <v>19.068999999999999</v>
      </c>
      <c r="R47" s="188">
        <f t="shared" si="3"/>
        <v>5.713000000000001</v>
      </c>
      <c r="S47" s="189">
        <f t="shared" si="4"/>
        <v>0.29959620326183867</v>
      </c>
    </row>
    <row r="48" spans="1:19" s="65" customFormat="1" ht="15.75" customHeight="1" x14ac:dyDescent="0.25">
      <c r="A48" s="62">
        <f t="shared" ref="A48:A98" si="8">A47+1</f>
        <v>39</v>
      </c>
      <c r="B48" s="63" t="s">
        <v>16</v>
      </c>
      <c r="C48" s="64">
        <f>C47</f>
        <v>24.782</v>
      </c>
      <c r="D48" s="185">
        <f>D47</f>
        <v>0.27400000000000002</v>
      </c>
      <c r="E48" s="64">
        <f>E47</f>
        <v>25.056000000000001</v>
      </c>
      <c r="F48" s="178">
        <f t="shared" si="7"/>
        <v>3.1600000000000003E-2</v>
      </c>
      <c r="G48" s="64">
        <f t="shared" si="0"/>
        <v>25.87360594795539</v>
      </c>
      <c r="H48" s="62"/>
      <c r="I48" s="64">
        <f>VLOOKUP(B48,'fixed cost'!$B$4:$R$116,17,0)</f>
        <v>0</v>
      </c>
      <c r="J48" s="62"/>
      <c r="K48" s="62"/>
      <c r="L48" s="62"/>
      <c r="M48" s="64">
        <f>VLOOKUP(B48,'fixed cost'!$B$4:$H$59,7,0)</f>
        <v>0.85915096311475081</v>
      </c>
      <c r="N48" s="64"/>
      <c r="O48" s="64">
        <f t="shared" si="1"/>
        <v>26.73275691107014</v>
      </c>
      <c r="Q48" s="65">
        <v>19.068999999999999</v>
      </c>
      <c r="R48" s="188">
        <f t="shared" si="3"/>
        <v>5.713000000000001</v>
      </c>
      <c r="S48" s="189">
        <f t="shared" si="4"/>
        <v>0.29959620326183867</v>
      </c>
    </row>
    <row r="49" spans="1:19" s="95" customFormat="1" ht="15.75" customHeight="1" x14ac:dyDescent="0.25">
      <c r="A49" s="92">
        <f>A46+1</f>
        <v>40</v>
      </c>
      <c r="B49" s="93" t="s">
        <v>175</v>
      </c>
      <c r="C49" s="94">
        <v>5.81</v>
      </c>
      <c r="D49" s="94"/>
      <c r="E49" s="94">
        <f t="shared" ref="E49:E112" si="9">C49+D49</f>
        <v>5.81</v>
      </c>
      <c r="F49" s="173">
        <f t="shared" si="7"/>
        <v>3.1600000000000003E-2</v>
      </c>
      <c r="G49" s="94">
        <f t="shared" si="0"/>
        <v>5.9995869475423369</v>
      </c>
      <c r="H49" s="92">
        <v>0.15</v>
      </c>
      <c r="I49" s="94">
        <f>VLOOKUP(B49,'fixed cost'!$B$4:$R$116,17,0)</f>
        <v>5.2784999999999999E-2</v>
      </c>
      <c r="J49" s="92"/>
      <c r="K49" s="92"/>
      <c r="L49" s="92"/>
      <c r="M49" s="92"/>
      <c r="N49" s="92"/>
      <c r="O49" s="94">
        <f t="shared" si="1"/>
        <v>6.2023719475423373</v>
      </c>
      <c r="Q49" s="95">
        <v>5.2130000000000001</v>
      </c>
      <c r="R49" s="188">
        <f t="shared" si="3"/>
        <v>0.59699999999999953</v>
      </c>
      <c r="S49" s="189">
        <f t="shared" si="4"/>
        <v>0.11452138883560321</v>
      </c>
    </row>
    <row r="50" spans="1:19" s="27" customFormat="1" ht="15.75" customHeight="1" x14ac:dyDescent="0.25">
      <c r="A50" s="66">
        <f>A49+1</f>
        <v>41</v>
      </c>
      <c r="B50" s="46" t="s">
        <v>175</v>
      </c>
      <c r="C50" s="67">
        <f>C49</f>
        <v>5.81</v>
      </c>
      <c r="D50" s="68">
        <f>D49</f>
        <v>0</v>
      </c>
      <c r="E50" s="67">
        <f t="shared" si="9"/>
        <v>5.81</v>
      </c>
      <c r="F50" s="184">
        <f t="shared" si="7"/>
        <v>3.1600000000000003E-2</v>
      </c>
      <c r="G50" s="67">
        <f t="shared" si="0"/>
        <v>5.9995869475423369</v>
      </c>
      <c r="H50" s="66">
        <f>H49</f>
        <v>0.15</v>
      </c>
      <c r="I50" s="67">
        <f>VLOOKUP(B50,'fixed cost'!$B$4:$R$116,17,0)</f>
        <v>5.2784999999999999E-2</v>
      </c>
      <c r="J50" s="66"/>
      <c r="K50" s="66"/>
      <c r="L50" s="66"/>
      <c r="M50" s="67">
        <f>VLOOKUP(B50,'fixed cost'!$B$4:$H$59,7,0)</f>
        <v>2.0731460875671606</v>
      </c>
      <c r="N50" s="67"/>
      <c r="O50" s="67">
        <f t="shared" si="1"/>
        <v>8.2755180351094975</v>
      </c>
      <c r="Q50" s="27">
        <v>5.2130000000000001</v>
      </c>
      <c r="R50" s="188">
        <f t="shared" si="3"/>
        <v>0.59699999999999953</v>
      </c>
      <c r="S50" s="189">
        <f t="shared" si="4"/>
        <v>0.11452138883560321</v>
      </c>
    </row>
    <row r="51" spans="1:19" s="27" customFormat="1" ht="15.75" customHeight="1" x14ac:dyDescent="0.25">
      <c r="A51" s="2">
        <f>A50+1</f>
        <v>42</v>
      </c>
      <c r="B51" s="4" t="s">
        <v>36</v>
      </c>
      <c r="C51" s="1">
        <v>1.804</v>
      </c>
      <c r="D51" s="1">
        <v>3.5900000000000001E-2</v>
      </c>
      <c r="E51" s="1">
        <f t="shared" si="9"/>
        <v>1.8399000000000001</v>
      </c>
      <c r="F51" s="7">
        <f t="shared" si="7"/>
        <v>3.1600000000000003E-2</v>
      </c>
      <c r="G51" s="1">
        <f t="shared" si="0"/>
        <v>1.8999380421313508</v>
      </c>
      <c r="H51" s="2"/>
      <c r="I51" s="1">
        <f>VLOOKUP(B51,'fixed cost'!$B$4:$R$116,17,0)</f>
        <v>0.13208364</v>
      </c>
      <c r="J51" s="2"/>
      <c r="K51" s="2"/>
      <c r="L51" s="2"/>
      <c r="M51" s="2"/>
      <c r="N51" s="2"/>
      <c r="O51" s="1">
        <f t="shared" si="1"/>
        <v>2.0320216821313508</v>
      </c>
      <c r="Q51" s="27">
        <v>1.6759999999999999</v>
      </c>
      <c r="R51" s="188">
        <f t="shared" si="3"/>
        <v>0.12800000000000011</v>
      </c>
      <c r="S51" s="189">
        <f t="shared" si="4"/>
        <v>7.6372315035799596E-2</v>
      </c>
    </row>
    <row r="52" spans="1:19" s="27" customFormat="1" ht="15.75" customHeight="1" x14ac:dyDescent="0.25">
      <c r="A52" s="66">
        <f t="shared" si="8"/>
        <v>43</v>
      </c>
      <c r="B52" s="46" t="s">
        <v>36</v>
      </c>
      <c r="C52" s="67">
        <f t="shared" ref="C52:D54" si="10">C51</f>
        <v>1.804</v>
      </c>
      <c r="D52" s="68">
        <f t="shared" si="10"/>
        <v>3.5900000000000001E-2</v>
      </c>
      <c r="E52" s="67">
        <f t="shared" si="9"/>
        <v>1.8399000000000001</v>
      </c>
      <c r="F52" s="184">
        <f t="shared" si="7"/>
        <v>3.1600000000000003E-2</v>
      </c>
      <c r="G52" s="67">
        <f t="shared" si="0"/>
        <v>1.8999380421313508</v>
      </c>
      <c r="H52" s="66"/>
      <c r="I52" s="67">
        <f>VLOOKUP(B52,'fixed cost'!$B$4:$R$116,17,0)</f>
        <v>0.13208364</v>
      </c>
      <c r="J52" s="66"/>
      <c r="K52" s="66"/>
      <c r="L52" s="66"/>
      <c r="M52" s="67">
        <f>VLOOKUP(B52,'fixed cost'!$B$4:$H$59,7,0)</f>
        <v>0.7550673162927084</v>
      </c>
      <c r="N52" s="67"/>
      <c r="O52" s="67">
        <f t="shared" si="1"/>
        <v>2.7870889984240592</v>
      </c>
      <c r="Q52" s="27">
        <v>1.6759999999999999</v>
      </c>
      <c r="R52" s="188">
        <f t="shared" si="3"/>
        <v>0.12800000000000011</v>
      </c>
      <c r="S52" s="189">
        <f t="shared" si="4"/>
        <v>7.6372315035799596E-2</v>
      </c>
    </row>
    <row r="53" spans="1:19" s="182" customFormat="1" ht="15.75" customHeight="1" x14ac:dyDescent="0.25">
      <c r="A53" s="58">
        <f t="shared" si="8"/>
        <v>44</v>
      </c>
      <c r="B53" s="59" t="str">
        <f>B52</f>
        <v>KSTPS</v>
      </c>
      <c r="C53" s="60">
        <f t="shared" si="10"/>
        <v>1.804</v>
      </c>
      <c r="D53" s="60">
        <f t="shared" si="10"/>
        <v>3.5900000000000001E-2</v>
      </c>
      <c r="E53" s="60">
        <f t="shared" si="9"/>
        <v>1.8399000000000001</v>
      </c>
      <c r="F53" s="124">
        <f t="shared" si="7"/>
        <v>3.1600000000000003E-2</v>
      </c>
      <c r="G53" s="60">
        <f t="shared" si="0"/>
        <v>1.8999380421313508</v>
      </c>
      <c r="H53" s="58"/>
      <c r="I53" s="1">
        <f>VLOOKUP(B53,'fixed cost'!$B$4:$R$116,17,0)</f>
        <v>0.13208364</v>
      </c>
      <c r="J53" s="58"/>
      <c r="K53" s="58"/>
      <c r="L53" s="58"/>
      <c r="M53" s="125"/>
      <c r="N53" s="58">
        <v>0.5</v>
      </c>
      <c r="O53" s="60">
        <f t="shared" si="1"/>
        <v>2.5320216821313508</v>
      </c>
      <c r="Q53" s="182">
        <v>1.6759999999999999</v>
      </c>
      <c r="R53" s="188">
        <f t="shared" si="3"/>
        <v>0.12800000000000011</v>
      </c>
      <c r="S53" s="189">
        <f t="shared" si="4"/>
        <v>7.6372315035799596E-2</v>
      </c>
    </row>
    <row r="54" spans="1:19" s="182" customFormat="1" ht="15.75" customHeight="1" x14ac:dyDescent="0.25">
      <c r="A54" s="146">
        <f t="shared" si="8"/>
        <v>45</v>
      </c>
      <c r="B54" s="147" t="str">
        <f>B53</f>
        <v>KSTPS</v>
      </c>
      <c r="C54" s="148">
        <f t="shared" si="10"/>
        <v>1.804</v>
      </c>
      <c r="D54" s="149">
        <f t="shared" si="10"/>
        <v>3.5900000000000001E-2</v>
      </c>
      <c r="E54" s="148">
        <f t="shared" si="9"/>
        <v>1.8399000000000001</v>
      </c>
      <c r="F54" s="150">
        <f t="shared" si="7"/>
        <v>3.1600000000000003E-2</v>
      </c>
      <c r="G54" s="148">
        <f t="shared" si="0"/>
        <v>1.8999380421313508</v>
      </c>
      <c r="H54" s="146"/>
      <c r="I54" s="1">
        <f>VLOOKUP(B54,'fixed cost'!$B$4:$R$116,17,0)</f>
        <v>0.13208364</v>
      </c>
      <c r="J54" s="146"/>
      <c r="K54" s="146"/>
      <c r="L54" s="146"/>
      <c r="M54" s="146"/>
      <c r="N54" s="146">
        <v>0.65</v>
      </c>
      <c r="O54" s="148">
        <f t="shared" si="1"/>
        <v>2.6820216821313507</v>
      </c>
      <c r="Q54" s="182">
        <v>1.6759999999999999</v>
      </c>
      <c r="R54" s="188">
        <f t="shared" si="3"/>
        <v>0.12800000000000011</v>
      </c>
      <c r="S54" s="189">
        <f t="shared" si="4"/>
        <v>7.6372315035799596E-2</v>
      </c>
    </row>
    <row r="55" spans="1:19" ht="15.75" customHeight="1" x14ac:dyDescent="0.25">
      <c r="A55" s="2">
        <f>A53+1</f>
        <v>45</v>
      </c>
      <c r="B55" s="44" t="s">
        <v>37</v>
      </c>
      <c r="C55" s="1">
        <v>1.546</v>
      </c>
      <c r="D55" s="1">
        <v>3.49E-2</v>
      </c>
      <c r="E55" s="1">
        <f t="shared" si="9"/>
        <v>1.5809</v>
      </c>
      <c r="F55" s="7">
        <f t="shared" si="7"/>
        <v>3.1600000000000003E-2</v>
      </c>
      <c r="G55" s="1">
        <f t="shared" si="0"/>
        <v>1.6324865757951259</v>
      </c>
      <c r="H55" s="2"/>
      <c r="I55" s="1">
        <f>VLOOKUP(B55,'fixed cost'!$B$4:$R$116,17,0)</f>
        <v>0.11369475</v>
      </c>
      <c r="J55" s="2"/>
      <c r="K55" s="2"/>
      <c r="L55" s="2"/>
      <c r="M55" s="2"/>
      <c r="N55" s="2"/>
      <c r="O55" s="1">
        <f t="shared" si="1"/>
        <v>1.746181325795126</v>
      </c>
      <c r="Q55" s="3">
        <v>1.3089999999999999</v>
      </c>
      <c r="R55" s="188">
        <f t="shared" si="3"/>
        <v>0.2370000000000001</v>
      </c>
      <c r="S55" s="189">
        <f t="shared" si="4"/>
        <v>0.18105423987776936</v>
      </c>
    </row>
    <row r="56" spans="1:19" s="27" customFormat="1" ht="15.75" customHeight="1" x14ac:dyDescent="0.25">
      <c r="A56" s="66">
        <f t="shared" si="8"/>
        <v>46</v>
      </c>
      <c r="B56" s="46" t="s">
        <v>37</v>
      </c>
      <c r="C56" s="67">
        <f t="shared" ref="C56:D58" si="11">C55</f>
        <v>1.546</v>
      </c>
      <c r="D56" s="68">
        <f t="shared" si="11"/>
        <v>3.49E-2</v>
      </c>
      <c r="E56" s="67">
        <f t="shared" si="9"/>
        <v>1.5809</v>
      </c>
      <c r="F56" s="184">
        <f t="shared" si="7"/>
        <v>3.1600000000000003E-2</v>
      </c>
      <c r="G56" s="67">
        <f t="shared" si="0"/>
        <v>1.6324865757951259</v>
      </c>
      <c r="H56" s="66"/>
      <c r="I56" s="67">
        <f>VLOOKUP(B56,'fixed cost'!$B$4:$R$116,17,0)</f>
        <v>0.11369475</v>
      </c>
      <c r="J56" s="66"/>
      <c r="K56" s="66"/>
      <c r="L56" s="66"/>
      <c r="M56" s="67">
        <f>VLOOKUP(B56,'fixed cost'!$B$4:$H$59,7,0)</f>
        <v>1.1259323539742558</v>
      </c>
      <c r="N56" s="67"/>
      <c r="O56" s="67">
        <f t="shared" si="1"/>
        <v>2.8721136797693818</v>
      </c>
      <c r="Q56" s="27">
        <v>1.3089999999999999</v>
      </c>
      <c r="R56" s="188">
        <f t="shared" si="3"/>
        <v>0.2370000000000001</v>
      </c>
      <c r="S56" s="189">
        <f t="shared" si="4"/>
        <v>0.18105423987776936</v>
      </c>
    </row>
    <row r="57" spans="1:19" s="182" customFormat="1" ht="15.75" customHeight="1" x14ac:dyDescent="0.25">
      <c r="A57" s="58">
        <f t="shared" si="8"/>
        <v>47</v>
      </c>
      <c r="B57" s="59" t="str">
        <f>B56</f>
        <v>KSTPS-III</v>
      </c>
      <c r="C57" s="60">
        <f t="shared" si="11"/>
        <v>1.546</v>
      </c>
      <c r="D57" s="60">
        <f t="shared" si="11"/>
        <v>3.49E-2</v>
      </c>
      <c r="E57" s="60">
        <f t="shared" si="9"/>
        <v>1.5809</v>
      </c>
      <c r="F57" s="124">
        <f t="shared" si="7"/>
        <v>3.1600000000000003E-2</v>
      </c>
      <c r="G57" s="60">
        <f t="shared" si="0"/>
        <v>1.6324865757951259</v>
      </c>
      <c r="H57" s="58"/>
      <c r="I57" s="1">
        <f>VLOOKUP(B57,'fixed cost'!$B$4:$R$116,17,0)</f>
        <v>0.11369475</v>
      </c>
      <c r="J57" s="58"/>
      <c r="K57" s="58"/>
      <c r="L57" s="58"/>
      <c r="M57" s="125"/>
      <c r="N57" s="58">
        <v>0.5</v>
      </c>
      <c r="O57" s="60">
        <f t="shared" si="1"/>
        <v>2.246181325795126</v>
      </c>
      <c r="Q57" s="182">
        <v>1.3089999999999999</v>
      </c>
      <c r="R57" s="188">
        <f t="shared" si="3"/>
        <v>0.2370000000000001</v>
      </c>
      <c r="S57" s="189">
        <f t="shared" si="4"/>
        <v>0.18105423987776936</v>
      </c>
    </row>
    <row r="58" spans="1:19" s="182" customFormat="1" ht="15.75" customHeight="1" x14ac:dyDescent="0.25">
      <c r="A58" s="146">
        <f t="shared" si="8"/>
        <v>48</v>
      </c>
      <c r="B58" s="147" t="str">
        <f>B57</f>
        <v>KSTPS-III</v>
      </c>
      <c r="C58" s="148">
        <f t="shared" si="11"/>
        <v>1.546</v>
      </c>
      <c r="D58" s="149">
        <f t="shared" si="11"/>
        <v>3.49E-2</v>
      </c>
      <c r="E58" s="148">
        <f t="shared" si="9"/>
        <v>1.5809</v>
      </c>
      <c r="F58" s="150">
        <f t="shared" si="7"/>
        <v>3.1600000000000003E-2</v>
      </c>
      <c r="G58" s="148">
        <f t="shared" si="0"/>
        <v>1.6324865757951259</v>
      </c>
      <c r="H58" s="146"/>
      <c r="I58" s="1">
        <f>VLOOKUP(B58,'fixed cost'!$B$4:$R$116,17,0)</f>
        <v>0.11369475</v>
      </c>
      <c r="J58" s="146"/>
      <c r="K58" s="146"/>
      <c r="L58" s="146"/>
      <c r="M58" s="146"/>
      <c r="N58" s="146">
        <v>0.65</v>
      </c>
      <c r="O58" s="148">
        <f t="shared" si="1"/>
        <v>2.3961813257951259</v>
      </c>
      <c r="Q58" s="182">
        <v>1.3089999999999999</v>
      </c>
      <c r="R58" s="188">
        <f t="shared" si="3"/>
        <v>0.2370000000000001</v>
      </c>
      <c r="S58" s="189">
        <f t="shared" si="4"/>
        <v>0.18105423987776936</v>
      </c>
    </row>
    <row r="59" spans="1:19" s="57" customFormat="1" ht="15.75" customHeight="1" x14ac:dyDescent="0.25">
      <c r="A59" s="2">
        <f>A57+1</f>
        <v>48</v>
      </c>
      <c r="B59" s="4" t="s">
        <v>94</v>
      </c>
      <c r="C59" s="1">
        <v>2.222</v>
      </c>
      <c r="D59" s="1"/>
      <c r="E59" s="1">
        <f t="shared" si="9"/>
        <v>2.222</v>
      </c>
      <c r="F59" s="7">
        <f t="shared" si="7"/>
        <v>3.1600000000000003E-2</v>
      </c>
      <c r="G59" s="1">
        <f t="shared" si="0"/>
        <v>2.2945064023130937</v>
      </c>
      <c r="H59" s="2"/>
      <c r="I59" s="1" t="e">
        <f>VLOOKUP(B59,'fixed cost'!$B$4:$R$116,17,0)</f>
        <v>#N/A</v>
      </c>
      <c r="J59" s="2">
        <v>0.05</v>
      </c>
      <c r="K59" s="2"/>
      <c r="L59" s="2"/>
      <c r="M59" s="2"/>
      <c r="N59" s="2"/>
      <c r="O59" s="1" t="e">
        <f t="shared" si="1"/>
        <v>#N/A</v>
      </c>
      <c r="Q59" s="57">
        <v>2.1030000000000002</v>
      </c>
      <c r="R59" s="188">
        <f t="shared" si="3"/>
        <v>0.11899999999999977</v>
      </c>
      <c r="S59" s="189">
        <f t="shared" si="4"/>
        <v>5.6585829766999413E-2</v>
      </c>
    </row>
    <row r="60" spans="1:19" s="57" customFormat="1" ht="15.75" customHeight="1" x14ac:dyDescent="0.25">
      <c r="A60" s="2">
        <f t="shared" si="8"/>
        <v>49</v>
      </c>
      <c r="B60" s="4" t="s">
        <v>172</v>
      </c>
      <c r="C60" s="1">
        <v>3.2429999999999999</v>
      </c>
      <c r="D60" s="1"/>
      <c r="E60" s="1">
        <f t="shared" si="9"/>
        <v>3.2429999999999999</v>
      </c>
      <c r="F60" s="7">
        <f t="shared" si="7"/>
        <v>3.1600000000000003E-2</v>
      </c>
      <c r="G60" s="1">
        <f t="shared" si="0"/>
        <v>3.3488228004956628</v>
      </c>
      <c r="H60" s="2"/>
      <c r="I60" s="1">
        <f>VLOOKUP(B60,'fixed cost'!$B$4:$R$116,17,0)</f>
        <v>0.11369475000000002</v>
      </c>
      <c r="J60" s="2"/>
      <c r="K60" s="2"/>
      <c r="L60" s="2"/>
      <c r="M60" s="2"/>
      <c r="N60" s="2"/>
      <c r="O60" s="1">
        <f t="shared" si="1"/>
        <v>3.4625175504956629</v>
      </c>
      <c r="Q60" s="57">
        <v>2.8039999999999998</v>
      </c>
      <c r="R60" s="188">
        <f t="shared" si="3"/>
        <v>0.43900000000000006</v>
      </c>
      <c r="S60" s="189">
        <f t="shared" si="4"/>
        <v>0.15656205420827393</v>
      </c>
    </row>
    <row r="61" spans="1:19" s="27" customFormat="1" ht="15.75" customHeight="1" x14ac:dyDescent="0.25">
      <c r="A61" s="66">
        <f t="shared" si="8"/>
        <v>50</v>
      </c>
      <c r="B61" s="46" t="s">
        <v>172</v>
      </c>
      <c r="C61" s="67">
        <f>C60</f>
        <v>3.2429999999999999</v>
      </c>
      <c r="D61" s="67">
        <f>D60</f>
        <v>0</v>
      </c>
      <c r="E61" s="67">
        <f t="shared" si="9"/>
        <v>3.2429999999999999</v>
      </c>
      <c r="F61" s="184">
        <f t="shared" si="7"/>
        <v>3.1600000000000003E-2</v>
      </c>
      <c r="G61" s="67">
        <f t="shared" si="0"/>
        <v>3.3488228004956628</v>
      </c>
      <c r="H61" s="66"/>
      <c r="I61" s="67">
        <f>VLOOKUP(B61,'fixed cost'!$B$4:$R$116,17,0)</f>
        <v>0.11369475000000002</v>
      </c>
      <c r="J61" s="66"/>
      <c r="K61" s="66"/>
      <c r="L61" s="66"/>
      <c r="M61" s="67">
        <f>VLOOKUP(B61,'fixed cost'!$B$4:$H$59,7,0)</f>
        <v>2.2835364224538699</v>
      </c>
      <c r="N61" s="66"/>
      <c r="O61" s="67">
        <f t="shared" si="1"/>
        <v>5.7460539729495324</v>
      </c>
      <c r="Q61" s="27">
        <v>2.8039999999999998</v>
      </c>
      <c r="R61" s="188">
        <f t="shared" si="3"/>
        <v>0.43900000000000006</v>
      </c>
      <c r="S61" s="189">
        <f t="shared" si="4"/>
        <v>0.15656205420827393</v>
      </c>
    </row>
    <row r="62" spans="1:19" s="99" customFormat="1" ht="15.75" customHeight="1" x14ac:dyDescent="0.25">
      <c r="A62" s="2">
        <f t="shared" si="8"/>
        <v>51</v>
      </c>
      <c r="B62" s="97" t="s">
        <v>58</v>
      </c>
      <c r="C62" s="98">
        <v>1.3</v>
      </c>
      <c r="D62" s="96"/>
      <c r="E62" s="98">
        <f t="shared" si="9"/>
        <v>1.3</v>
      </c>
      <c r="F62" s="96"/>
      <c r="G62" s="98">
        <f t="shared" si="0"/>
        <v>1.3</v>
      </c>
      <c r="H62" s="96"/>
      <c r="I62" s="98">
        <f>VLOOKUP(B62,'fixed cost'!$B$4:$R$116,17,0)</f>
        <v>0</v>
      </c>
      <c r="J62" s="96"/>
      <c r="K62" s="96"/>
      <c r="L62" s="96"/>
      <c r="M62" s="96"/>
      <c r="N62" s="96"/>
      <c r="O62" s="98">
        <f t="shared" si="1"/>
        <v>1.3</v>
      </c>
      <c r="Q62" s="99">
        <v>1.3</v>
      </c>
      <c r="R62" s="188">
        <f t="shared" si="3"/>
        <v>0</v>
      </c>
      <c r="S62" s="189">
        <f t="shared" si="4"/>
        <v>0</v>
      </c>
    </row>
    <row r="63" spans="1:19" ht="15.75" customHeight="1" x14ac:dyDescent="0.25">
      <c r="A63" s="2">
        <f t="shared" si="8"/>
        <v>52</v>
      </c>
      <c r="B63" s="44" t="s">
        <v>18</v>
      </c>
      <c r="C63" s="1">
        <v>4.5389999999999997</v>
      </c>
      <c r="D63" s="9"/>
      <c r="E63" s="1">
        <f t="shared" si="9"/>
        <v>4.5389999999999997</v>
      </c>
      <c r="F63" s="7">
        <f>F61</f>
        <v>3.1600000000000003E-2</v>
      </c>
      <c r="G63" s="1">
        <f t="shared" si="0"/>
        <v>4.6871127633209415</v>
      </c>
      <c r="H63" s="2"/>
      <c r="I63" s="1">
        <f>VLOOKUP(B63,'fixed cost'!$B$4:$R$116,17,0)</f>
        <v>0</v>
      </c>
      <c r="J63" s="2"/>
      <c r="K63" s="2"/>
      <c r="L63" s="2"/>
      <c r="M63" s="2"/>
      <c r="N63" s="2"/>
      <c r="O63" s="1">
        <f t="shared" si="1"/>
        <v>4.6871127633209415</v>
      </c>
      <c r="Q63" s="3">
        <v>4.9409999999999998</v>
      </c>
      <c r="R63" s="188">
        <f t="shared" si="3"/>
        <v>-0.40200000000000014</v>
      </c>
      <c r="S63" s="189">
        <f t="shared" si="4"/>
        <v>-8.1360048573163354E-2</v>
      </c>
    </row>
    <row r="64" spans="1:19" s="27" customFormat="1" ht="15.75" customHeight="1" x14ac:dyDescent="0.25">
      <c r="A64" s="66">
        <f t="shared" si="8"/>
        <v>53</v>
      </c>
      <c r="B64" s="46" t="s">
        <v>18</v>
      </c>
      <c r="C64" s="67">
        <f>C63</f>
        <v>4.5389999999999997</v>
      </c>
      <c r="D64" s="67">
        <f>D63</f>
        <v>0</v>
      </c>
      <c r="E64" s="67">
        <f t="shared" si="9"/>
        <v>4.5389999999999997</v>
      </c>
      <c r="F64" s="184">
        <f>F63</f>
        <v>3.1600000000000003E-2</v>
      </c>
      <c r="G64" s="67">
        <f t="shared" si="0"/>
        <v>4.6871127633209415</v>
      </c>
      <c r="H64" s="66"/>
      <c r="I64" s="67">
        <f>VLOOKUP(B64,'fixed cost'!$B$4:$R$116,17,0)</f>
        <v>0</v>
      </c>
      <c r="J64" s="66"/>
      <c r="K64" s="66"/>
      <c r="L64" s="66"/>
      <c r="M64" s="67">
        <f>VLOOKUP(B64,'fixed cost'!$B$4:$H$62,7,0)</f>
        <v>1.6931572396408874</v>
      </c>
      <c r="N64" s="67"/>
      <c r="O64" s="1">
        <f t="shared" si="1"/>
        <v>6.3802700029618293</v>
      </c>
      <c r="Q64" s="27">
        <v>4.9409999999999998</v>
      </c>
      <c r="R64" s="188">
        <f t="shared" si="3"/>
        <v>-0.40200000000000014</v>
      </c>
      <c r="S64" s="189">
        <f t="shared" si="4"/>
        <v>-8.1360048573163354E-2</v>
      </c>
    </row>
    <row r="65" spans="1:19" s="57" customFormat="1" ht="15.75" customHeight="1" x14ac:dyDescent="0.25">
      <c r="A65" s="2">
        <f t="shared" si="8"/>
        <v>54</v>
      </c>
      <c r="B65" s="44" t="s">
        <v>103</v>
      </c>
      <c r="C65" s="1">
        <v>4.899</v>
      </c>
      <c r="D65" s="9"/>
      <c r="E65" s="1">
        <f t="shared" si="9"/>
        <v>4.899</v>
      </c>
      <c r="F65" s="7">
        <f t="shared" ref="F65:F67" si="12">F64</f>
        <v>3.1600000000000003E-2</v>
      </c>
      <c r="G65" s="1">
        <f t="shared" si="0"/>
        <v>5.0588599752168522</v>
      </c>
      <c r="H65" s="2"/>
      <c r="I65" s="1">
        <f>VLOOKUP(B65,'fixed cost'!$B$4:$R$116,17,0)</f>
        <v>0</v>
      </c>
      <c r="J65" s="2"/>
      <c r="K65" s="2"/>
      <c r="L65" s="2"/>
      <c r="M65" s="2"/>
      <c r="N65" s="2"/>
      <c r="O65" s="1">
        <f t="shared" si="1"/>
        <v>5.0588599752168522</v>
      </c>
      <c r="Q65" s="57">
        <v>4.9669999999999996</v>
      </c>
      <c r="R65" s="188">
        <f t="shared" si="3"/>
        <v>-6.7999999999999616E-2</v>
      </c>
      <c r="S65" s="189">
        <f t="shared" si="4"/>
        <v>-1.3690356351922613E-2</v>
      </c>
    </row>
    <row r="66" spans="1:19" s="27" customFormat="1" ht="15.75" customHeight="1" x14ac:dyDescent="0.25">
      <c r="A66" s="66">
        <f t="shared" si="8"/>
        <v>55</v>
      </c>
      <c r="B66" s="46" t="s">
        <v>103</v>
      </c>
      <c r="C66" s="67">
        <f>C65</f>
        <v>4.899</v>
      </c>
      <c r="D66" s="67">
        <f>D65</f>
        <v>0</v>
      </c>
      <c r="E66" s="67">
        <f t="shared" si="9"/>
        <v>4.899</v>
      </c>
      <c r="F66" s="184">
        <f t="shared" si="12"/>
        <v>3.1600000000000003E-2</v>
      </c>
      <c r="G66" s="67">
        <f t="shared" si="0"/>
        <v>5.0588599752168522</v>
      </c>
      <c r="H66" s="66"/>
      <c r="I66" s="67">
        <f>VLOOKUP(B66,'fixed cost'!$B$4:$R$116,17,0)</f>
        <v>0</v>
      </c>
      <c r="J66" s="66"/>
      <c r="K66" s="66"/>
      <c r="L66" s="66"/>
      <c r="M66" s="67">
        <f>VLOOKUP(B66,'fixed cost'!$B$4:$H$62,7,0)</f>
        <v>1.5812064046246714</v>
      </c>
      <c r="N66" s="67"/>
      <c r="O66" s="67">
        <f t="shared" si="1"/>
        <v>6.6400663798415236</v>
      </c>
      <c r="Q66" s="27">
        <v>4.9669999999999996</v>
      </c>
      <c r="R66" s="188">
        <f t="shared" si="3"/>
        <v>-6.7999999999999616E-2</v>
      </c>
      <c r="S66" s="189">
        <f t="shared" si="4"/>
        <v>-1.3690356351922613E-2</v>
      </c>
    </row>
    <row r="67" spans="1:19" ht="15.75" customHeight="1" x14ac:dyDescent="0.25">
      <c r="A67" s="2">
        <f t="shared" si="8"/>
        <v>56</v>
      </c>
      <c r="B67" s="4" t="s">
        <v>70</v>
      </c>
      <c r="C67" s="1">
        <v>3.1419999999999999</v>
      </c>
      <c r="D67" s="1"/>
      <c r="E67" s="1">
        <f t="shared" si="9"/>
        <v>3.1419999999999999</v>
      </c>
      <c r="F67" s="7">
        <f t="shared" si="12"/>
        <v>3.1600000000000003E-2</v>
      </c>
      <c r="G67" s="1">
        <f t="shared" si="0"/>
        <v>3.2445270549359768</v>
      </c>
      <c r="H67" s="2">
        <v>0.15</v>
      </c>
      <c r="I67" s="1">
        <f>VLOOKUP(B67,'fixed cost'!$B$4:$R$116,17,0)</f>
        <v>4.7625000000000001E-2</v>
      </c>
      <c r="J67" s="2"/>
      <c r="K67" s="2"/>
      <c r="L67" s="2"/>
      <c r="M67" s="2"/>
      <c r="N67" s="2"/>
      <c r="O67" s="1">
        <f t="shared" si="1"/>
        <v>3.4421520549359768</v>
      </c>
      <c r="Q67" s="3">
        <v>2.847</v>
      </c>
      <c r="R67" s="188">
        <f t="shared" si="3"/>
        <v>0.29499999999999993</v>
      </c>
      <c r="S67" s="189">
        <f t="shared" si="4"/>
        <v>0.10361784334387071</v>
      </c>
    </row>
    <row r="68" spans="1:19" s="65" customFormat="1" ht="15.75" customHeight="1" x14ac:dyDescent="0.25">
      <c r="A68" s="62">
        <f>A67+1</f>
        <v>57</v>
      </c>
      <c r="B68" s="63" t="s">
        <v>101</v>
      </c>
      <c r="C68" s="64">
        <v>4.38</v>
      </c>
      <c r="D68" s="64"/>
      <c r="E68" s="64">
        <f t="shared" si="9"/>
        <v>4.38</v>
      </c>
      <c r="F68" s="178"/>
      <c r="G68" s="64">
        <f t="shared" si="0"/>
        <v>4.38</v>
      </c>
      <c r="H68" s="179"/>
      <c r="I68" s="64">
        <f>VLOOKUP(B68,'fixed cost'!$B$4:$R$116,17,0)</f>
        <v>0</v>
      </c>
      <c r="J68" s="62"/>
      <c r="K68" s="62"/>
      <c r="L68" s="62"/>
      <c r="M68" s="64"/>
      <c r="N68" s="64"/>
      <c r="O68" s="64">
        <f t="shared" si="1"/>
        <v>4.38</v>
      </c>
      <c r="Q68" s="65">
        <v>4.38</v>
      </c>
      <c r="R68" s="188">
        <f t="shared" si="3"/>
        <v>0</v>
      </c>
      <c r="S68" s="189">
        <f t="shared" si="4"/>
        <v>0</v>
      </c>
    </row>
    <row r="69" spans="1:19" s="99" customFormat="1" ht="15.75" customHeight="1" x14ac:dyDescent="0.25">
      <c r="A69" s="96">
        <f t="shared" si="8"/>
        <v>58</v>
      </c>
      <c r="B69" s="97" t="s">
        <v>45</v>
      </c>
      <c r="C69" s="98">
        <v>0.50700000000000001</v>
      </c>
      <c r="D69" s="96"/>
      <c r="E69" s="98">
        <f t="shared" si="9"/>
        <v>0.50700000000000001</v>
      </c>
      <c r="F69" s="96"/>
      <c r="G69" s="98">
        <f t="shared" si="0"/>
        <v>0.50700000000000001</v>
      </c>
      <c r="H69" s="96"/>
      <c r="I69" s="98">
        <f>VLOOKUP(B69,'fixed cost'!$B$4:$R$116,17,0)</f>
        <v>0</v>
      </c>
      <c r="J69" s="96"/>
      <c r="K69" s="96"/>
      <c r="L69" s="96"/>
      <c r="M69" s="96"/>
      <c r="N69" s="96"/>
      <c r="O69" s="98">
        <f t="shared" si="1"/>
        <v>0.50700000000000001</v>
      </c>
      <c r="Q69" s="99">
        <v>0.50700000000000001</v>
      </c>
      <c r="R69" s="188">
        <f t="shared" si="3"/>
        <v>0</v>
      </c>
      <c r="S69" s="189">
        <f t="shared" si="4"/>
        <v>0</v>
      </c>
    </row>
    <row r="70" spans="1:19" s="99" customFormat="1" ht="15.75" customHeight="1" x14ac:dyDescent="0.25">
      <c r="A70" s="96">
        <f t="shared" si="8"/>
        <v>59</v>
      </c>
      <c r="B70" s="97" t="s">
        <v>68</v>
      </c>
      <c r="C70" s="98">
        <v>1.51</v>
      </c>
      <c r="D70" s="96"/>
      <c r="E70" s="98">
        <f t="shared" si="9"/>
        <v>1.51</v>
      </c>
      <c r="F70" s="96"/>
      <c r="G70" s="98">
        <f t="shared" ref="G70:G136" si="13">E70/((100%-F70))</f>
        <v>1.51</v>
      </c>
      <c r="H70" s="96"/>
      <c r="I70" s="98">
        <f>VLOOKUP(B70,'fixed cost'!$B$4:$R$116,17,0)</f>
        <v>0</v>
      </c>
      <c r="J70" s="96"/>
      <c r="K70" s="96"/>
      <c r="L70" s="96"/>
      <c r="M70" s="96"/>
      <c r="N70" s="96"/>
      <c r="O70" s="98">
        <f t="shared" ref="O70:O133" si="14">SUM(G70:N70)</f>
        <v>1.51</v>
      </c>
      <c r="Q70" s="99">
        <v>1.51</v>
      </c>
      <c r="R70" s="188">
        <f t="shared" si="3"/>
        <v>0</v>
      </c>
      <c r="S70" s="189">
        <f t="shared" si="4"/>
        <v>0</v>
      </c>
    </row>
    <row r="71" spans="1:19" s="99" customFormat="1" x14ac:dyDescent="0.25">
      <c r="A71" s="96">
        <f t="shared" si="8"/>
        <v>60</v>
      </c>
      <c r="B71" s="97" t="s">
        <v>35</v>
      </c>
      <c r="C71" s="98">
        <v>1.24</v>
      </c>
      <c r="D71" s="96"/>
      <c r="E71" s="98">
        <f t="shared" si="9"/>
        <v>1.24</v>
      </c>
      <c r="F71" s="96"/>
      <c r="G71" s="98">
        <f t="shared" si="13"/>
        <v>1.24</v>
      </c>
      <c r="H71" s="96"/>
      <c r="I71" s="98">
        <f>VLOOKUP(B71,'fixed cost'!$B$4:$R$116,17,0)</f>
        <v>0</v>
      </c>
      <c r="J71" s="96"/>
      <c r="K71" s="96"/>
      <c r="L71" s="96"/>
      <c r="M71" s="96"/>
      <c r="N71" s="96"/>
      <c r="O71" s="98">
        <f t="shared" si="14"/>
        <v>1.24</v>
      </c>
      <c r="Q71" s="99">
        <v>1.24</v>
      </c>
      <c r="R71" s="188">
        <f t="shared" ref="R71:R134" si="15">C71-Q71</f>
        <v>0</v>
      </c>
      <c r="S71" s="189">
        <f t="shared" ref="S71:S134" si="16">R71/Q71</f>
        <v>0</v>
      </c>
    </row>
    <row r="72" spans="1:19" s="27" customFormat="1" ht="15.75" customHeight="1" x14ac:dyDescent="0.25">
      <c r="A72" s="2">
        <f t="shared" si="8"/>
        <v>61</v>
      </c>
      <c r="B72" s="4" t="s">
        <v>43</v>
      </c>
      <c r="C72" s="1">
        <v>1.149</v>
      </c>
      <c r="D72" s="1"/>
      <c r="E72" s="1">
        <f t="shared" si="9"/>
        <v>1.149</v>
      </c>
      <c r="F72" s="7">
        <f>F67</f>
        <v>3.1600000000000003E-2</v>
      </c>
      <c r="G72" s="1">
        <f t="shared" si="13"/>
        <v>1.1864931846344486</v>
      </c>
      <c r="H72" s="2">
        <v>0.15</v>
      </c>
      <c r="I72" s="1">
        <f>VLOOKUP(B72,'fixed cost'!$B$4:$R$116,17,0)</f>
        <v>3.8347439041159732E-2</v>
      </c>
      <c r="J72" s="2"/>
      <c r="K72" s="2"/>
      <c r="L72" s="5">
        <v>0.16500000000000001</v>
      </c>
      <c r="M72" s="2"/>
      <c r="N72" s="2"/>
      <c r="O72" s="1">
        <f t="shared" si="14"/>
        <v>1.5398406236756084</v>
      </c>
      <c r="Q72" s="27">
        <v>1.149</v>
      </c>
      <c r="R72" s="188">
        <f t="shared" si="15"/>
        <v>0</v>
      </c>
      <c r="S72" s="189">
        <f t="shared" si="16"/>
        <v>0</v>
      </c>
    </row>
    <row r="73" spans="1:19" s="27" customFormat="1" ht="15.75" customHeight="1" x14ac:dyDescent="0.25">
      <c r="A73" s="66">
        <f t="shared" si="8"/>
        <v>62</v>
      </c>
      <c r="B73" s="46" t="s">
        <v>43</v>
      </c>
      <c r="C73" s="67">
        <f>C72</f>
        <v>1.149</v>
      </c>
      <c r="D73" s="67">
        <f>D72</f>
        <v>0</v>
      </c>
      <c r="E73" s="67">
        <f t="shared" si="9"/>
        <v>1.149</v>
      </c>
      <c r="F73" s="184">
        <f>F72</f>
        <v>3.1600000000000003E-2</v>
      </c>
      <c r="G73" s="67">
        <f t="shared" si="13"/>
        <v>1.1864931846344486</v>
      </c>
      <c r="H73" s="66">
        <v>0.15</v>
      </c>
      <c r="I73" s="67">
        <f>VLOOKUP(B73,'fixed cost'!$B$4:$R$116,17,0)</f>
        <v>3.8347439041159732E-2</v>
      </c>
      <c r="J73" s="66"/>
      <c r="K73" s="66"/>
      <c r="L73" s="117">
        <f>L72</f>
        <v>0.16500000000000001</v>
      </c>
      <c r="M73" s="67">
        <v>0.16739999999999999</v>
      </c>
      <c r="N73" s="67"/>
      <c r="O73" s="67">
        <f t="shared" si="14"/>
        <v>1.7072406236756084</v>
      </c>
      <c r="Q73" s="27">
        <v>1.149</v>
      </c>
      <c r="R73" s="188">
        <f t="shared" si="15"/>
        <v>0</v>
      </c>
      <c r="S73" s="189">
        <f t="shared" si="16"/>
        <v>0</v>
      </c>
    </row>
    <row r="74" spans="1:19" s="27" customFormat="1" ht="15.75" customHeight="1" x14ac:dyDescent="0.25">
      <c r="A74" s="2">
        <f t="shared" si="8"/>
        <v>63</v>
      </c>
      <c r="B74" s="4" t="s">
        <v>25</v>
      </c>
      <c r="C74" s="1">
        <v>1.952</v>
      </c>
      <c r="D74" s="1"/>
      <c r="E74" s="1">
        <f t="shared" si="9"/>
        <v>1.952</v>
      </c>
      <c r="F74" s="7"/>
      <c r="G74" s="1">
        <f t="shared" si="13"/>
        <v>1.952</v>
      </c>
      <c r="H74" s="2"/>
      <c r="I74" s="1">
        <f>VLOOKUP(B74,'fixed cost'!$B$4:$R$116,17,0)</f>
        <v>0</v>
      </c>
      <c r="J74" s="2"/>
      <c r="K74" s="2"/>
      <c r="L74" s="2"/>
      <c r="M74" s="2"/>
      <c r="N74" s="2"/>
      <c r="O74" s="1">
        <f t="shared" si="14"/>
        <v>1.952</v>
      </c>
      <c r="Q74" s="27">
        <v>1.927</v>
      </c>
      <c r="R74" s="188">
        <f t="shared" si="15"/>
        <v>2.4999999999999911E-2</v>
      </c>
      <c r="S74" s="189">
        <f t="shared" si="16"/>
        <v>1.2973533990659009E-2</v>
      </c>
    </row>
    <row r="75" spans="1:19" s="61" customFormat="1" ht="15.75" customHeight="1" x14ac:dyDescent="0.25">
      <c r="A75" s="58">
        <f t="shared" si="8"/>
        <v>64</v>
      </c>
      <c r="B75" s="59" t="s">
        <v>25</v>
      </c>
      <c r="C75" s="60">
        <f>C74</f>
        <v>1.952</v>
      </c>
      <c r="D75" s="60"/>
      <c r="E75" s="60">
        <f t="shared" si="9"/>
        <v>1.952</v>
      </c>
      <c r="F75" s="124"/>
      <c r="G75" s="60">
        <f t="shared" si="13"/>
        <v>1.952</v>
      </c>
      <c r="H75" s="58"/>
      <c r="I75" s="1">
        <f>VLOOKUP(B75,'fixed cost'!$B$4:$R$116,17,0)</f>
        <v>0</v>
      </c>
      <c r="J75" s="58"/>
      <c r="K75" s="58"/>
      <c r="L75" s="58"/>
      <c r="M75" s="125"/>
      <c r="N75" s="58">
        <v>0.5</v>
      </c>
      <c r="O75" s="60">
        <f t="shared" si="14"/>
        <v>2.452</v>
      </c>
      <c r="Q75" s="61">
        <v>1.927</v>
      </c>
      <c r="R75" s="188">
        <f t="shared" si="15"/>
        <v>2.4999999999999911E-2</v>
      </c>
      <c r="S75" s="189">
        <f t="shared" si="16"/>
        <v>1.2973533990659009E-2</v>
      </c>
    </row>
    <row r="76" spans="1:19" s="61" customFormat="1" ht="15.75" customHeight="1" x14ac:dyDescent="0.25">
      <c r="A76" s="146">
        <f t="shared" si="8"/>
        <v>65</v>
      </c>
      <c r="B76" s="147" t="s">
        <v>25</v>
      </c>
      <c r="C76" s="148">
        <f>C75</f>
        <v>1.952</v>
      </c>
      <c r="D76" s="148"/>
      <c r="E76" s="148">
        <f t="shared" si="9"/>
        <v>1.952</v>
      </c>
      <c r="F76" s="150"/>
      <c r="G76" s="148">
        <f t="shared" si="13"/>
        <v>1.952</v>
      </c>
      <c r="H76" s="146"/>
      <c r="I76" s="1">
        <f>VLOOKUP(B76,'fixed cost'!$B$4:$R$116,17,0)</f>
        <v>0</v>
      </c>
      <c r="J76" s="146"/>
      <c r="K76" s="146"/>
      <c r="L76" s="146"/>
      <c r="M76" s="153"/>
      <c r="N76" s="146">
        <v>0.65</v>
      </c>
      <c r="O76" s="148">
        <f t="shared" si="14"/>
        <v>2.6019999999999999</v>
      </c>
      <c r="Q76" s="61">
        <v>1.927</v>
      </c>
      <c r="R76" s="188">
        <f t="shared" si="15"/>
        <v>2.4999999999999911E-2</v>
      </c>
      <c r="S76" s="189">
        <f t="shared" si="16"/>
        <v>1.2973533990659009E-2</v>
      </c>
    </row>
    <row r="77" spans="1:19" s="27" customFormat="1" ht="15.75" customHeight="1" x14ac:dyDescent="0.25">
      <c r="A77" s="2">
        <f>A75+1</f>
        <v>65</v>
      </c>
      <c r="B77" s="4" t="s">
        <v>22</v>
      </c>
      <c r="C77" s="1">
        <v>2.4039999999999999</v>
      </c>
      <c r="D77" s="1"/>
      <c r="E77" s="1">
        <f t="shared" si="9"/>
        <v>2.4039999999999999</v>
      </c>
      <c r="F77" s="7"/>
      <c r="G77" s="1">
        <f t="shared" si="13"/>
        <v>2.4039999999999999</v>
      </c>
      <c r="H77" s="2"/>
      <c r="I77" s="1">
        <f>VLOOKUP(B77,'fixed cost'!$B$4:$R$116,17,0)</f>
        <v>0</v>
      </c>
      <c r="J77" s="2"/>
      <c r="K77" s="2"/>
      <c r="L77" s="2"/>
      <c r="M77" s="2"/>
      <c r="N77" s="2"/>
      <c r="O77" s="1">
        <f t="shared" si="14"/>
        <v>2.4039999999999999</v>
      </c>
      <c r="Q77" s="27">
        <v>2.355</v>
      </c>
      <c r="R77" s="188">
        <f t="shared" si="15"/>
        <v>4.8999999999999932E-2</v>
      </c>
      <c r="S77" s="189">
        <f t="shared" si="16"/>
        <v>2.080679405520167E-2</v>
      </c>
    </row>
    <row r="78" spans="1:19" ht="15.75" customHeight="1" x14ac:dyDescent="0.25">
      <c r="A78" s="2">
        <f t="shared" si="8"/>
        <v>66</v>
      </c>
      <c r="B78" s="4" t="s">
        <v>29</v>
      </c>
      <c r="C78" s="1">
        <v>2.7160000000000002</v>
      </c>
      <c r="D78" s="1">
        <v>3.5999999999999997E-2</v>
      </c>
      <c r="E78" s="1">
        <f t="shared" si="9"/>
        <v>2.7520000000000002</v>
      </c>
      <c r="F78" s="7">
        <f>F73</f>
        <v>3.1600000000000003E-2</v>
      </c>
      <c r="G78" s="1">
        <f t="shared" si="13"/>
        <v>2.841800908715407</v>
      </c>
      <c r="H78" s="2"/>
      <c r="I78" s="1">
        <f>VLOOKUP(B78,'fixed cost'!$B$4:$R$116,17,0)</f>
        <v>0.11823725</v>
      </c>
      <c r="J78" s="2"/>
      <c r="K78" s="2"/>
      <c r="L78" s="2"/>
      <c r="M78" s="2"/>
      <c r="N78" s="2"/>
      <c r="O78" s="1">
        <f t="shared" si="14"/>
        <v>2.960038158715407</v>
      </c>
      <c r="Q78" s="3">
        <v>1.98</v>
      </c>
      <c r="R78" s="188">
        <f t="shared" si="15"/>
        <v>0.73600000000000021</v>
      </c>
      <c r="S78" s="189">
        <f t="shared" si="16"/>
        <v>0.37171717171717183</v>
      </c>
    </row>
    <row r="79" spans="1:19" s="27" customFormat="1" ht="15.75" customHeight="1" x14ac:dyDescent="0.25">
      <c r="A79" s="2">
        <f t="shared" si="8"/>
        <v>67</v>
      </c>
      <c r="B79" s="46" t="s">
        <v>29</v>
      </c>
      <c r="C79" s="67">
        <f t="shared" ref="C79:D81" si="17">C78</f>
        <v>2.7160000000000002</v>
      </c>
      <c r="D79" s="68">
        <f t="shared" si="17"/>
        <v>3.5999999999999997E-2</v>
      </c>
      <c r="E79" s="67">
        <f t="shared" si="9"/>
        <v>2.7520000000000002</v>
      </c>
      <c r="F79" s="184">
        <f>F78</f>
        <v>3.1600000000000003E-2</v>
      </c>
      <c r="G79" s="67">
        <f t="shared" si="13"/>
        <v>2.841800908715407</v>
      </c>
      <c r="H79" s="66"/>
      <c r="I79" s="67">
        <f>VLOOKUP(B79,'fixed cost'!$B$4:$R$116,17,0)</f>
        <v>0.11823725</v>
      </c>
      <c r="J79" s="66"/>
      <c r="K79" s="66"/>
      <c r="L79" s="66"/>
      <c r="M79" s="67">
        <f>VLOOKUP(B79,'fixed cost'!$B$4:$H$59,7,0)</f>
        <v>1.2557147073249215</v>
      </c>
      <c r="N79" s="67"/>
      <c r="O79" s="67">
        <f t="shared" si="14"/>
        <v>4.2157528660403285</v>
      </c>
      <c r="Q79" s="27">
        <v>1.98</v>
      </c>
      <c r="R79" s="188">
        <f t="shared" si="15"/>
        <v>0.73600000000000021</v>
      </c>
      <c r="S79" s="189">
        <f t="shared" si="16"/>
        <v>0.37171717171717183</v>
      </c>
    </row>
    <row r="80" spans="1:19" s="61" customFormat="1" ht="15.75" customHeight="1" x14ac:dyDescent="0.25">
      <c r="A80" s="2">
        <f t="shared" si="8"/>
        <v>68</v>
      </c>
      <c r="B80" s="59" t="str">
        <f>B79</f>
        <v>SIPAT I</v>
      </c>
      <c r="C80" s="60">
        <f t="shared" si="17"/>
        <v>2.7160000000000002</v>
      </c>
      <c r="D80" s="85">
        <f t="shared" si="17"/>
        <v>3.5999999999999997E-2</v>
      </c>
      <c r="E80" s="60">
        <f t="shared" si="9"/>
        <v>2.7520000000000002</v>
      </c>
      <c r="F80" s="124">
        <f t="shared" ref="F80:F88" si="18">F79</f>
        <v>3.1600000000000003E-2</v>
      </c>
      <c r="G80" s="60">
        <f t="shared" si="13"/>
        <v>2.841800908715407</v>
      </c>
      <c r="H80" s="58"/>
      <c r="I80" s="1">
        <f>VLOOKUP(B80,'fixed cost'!$B$4:$R$116,17,0)</f>
        <v>0.11823725</v>
      </c>
      <c r="J80" s="58"/>
      <c r="K80" s="58"/>
      <c r="L80" s="58"/>
      <c r="M80" s="58"/>
      <c r="N80" s="58">
        <v>0.5</v>
      </c>
      <c r="O80" s="60">
        <f t="shared" si="14"/>
        <v>3.460038158715407</v>
      </c>
      <c r="Q80" s="61">
        <v>1.98</v>
      </c>
      <c r="R80" s="188">
        <f t="shared" si="15"/>
        <v>0.73600000000000021</v>
      </c>
      <c r="S80" s="189">
        <f t="shared" si="16"/>
        <v>0.37171717171717183</v>
      </c>
    </row>
    <row r="81" spans="1:19" s="61" customFormat="1" ht="15.75" customHeight="1" x14ac:dyDescent="0.25">
      <c r="A81" s="146">
        <f t="shared" si="8"/>
        <v>69</v>
      </c>
      <c r="B81" s="147" t="str">
        <f>B80</f>
        <v>SIPAT I</v>
      </c>
      <c r="C81" s="148">
        <f t="shared" si="17"/>
        <v>2.7160000000000002</v>
      </c>
      <c r="D81" s="149">
        <f t="shared" si="17"/>
        <v>3.5999999999999997E-2</v>
      </c>
      <c r="E81" s="148">
        <f t="shared" si="9"/>
        <v>2.7520000000000002</v>
      </c>
      <c r="F81" s="150">
        <f t="shared" si="18"/>
        <v>3.1600000000000003E-2</v>
      </c>
      <c r="G81" s="148">
        <f t="shared" si="13"/>
        <v>2.841800908715407</v>
      </c>
      <c r="H81" s="146"/>
      <c r="I81" s="1">
        <f>VLOOKUP(B81,'fixed cost'!$B$4:$R$116,17,0)</f>
        <v>0.11823725</v>
      </c>
      <c r="J81" s="146"/>
      <c r="K81" s="146"/>
      <c r="L81" s="146"/>
      <c r="M81" s="146"/>
      <c r="N81" s="146">
        <v>0.65</v>
      </c>
      <c r="O81" s="148">
        <f t="shared" si="14"/>
        <v>3.6100381587154069</v>
      </c>
      <c r="Q81" s="61">
        <v>1.98</v>
      </c>
      <c r="R81" s="188">
        <f t="shared" si="15"/>
        <v>0.73600000000000021</v>
      </c>
      <c r="S81" s="189">
        <f t="shared" si="16"/>
        <v>0.37171717171717183</v>
      </c>
    </row>
    <row r="82" spans="1:19" ht="15.75" customHeight="1" x14ac:dyDescent="0.25">
      <c r="A82" s="2">
        <f>A80+1</f>
        <v>69</v>
      </c>
      <c r="B82" s="4" t="s">
        <v>28</v>
      </c>
      <c r="C82" s="1">
        <v>3.0110000000000001</v>
      </c>
      <c r="D82" s="1">
        <v>3.8899999999999997E-2</v>
      </c>
      <c r="E82" s="1">
        <f t="shared" si="9"/>
        <v>3.0499000000000001</v>
      </c>
      <c r="F82" s="7">
        <f t="shared" si="18"/>
        <v>3.1600000000000003E-2</v>
      </c>
      <c r="G82" s="1">
        <f t="shared" si="13"/>
        <v>3.149421726559273</v>
      </c>
      <c r="H82" s="2"/>
      <c r="I82" s="1">
        <f>VLOOKUP(B82,'fixed cost'!$B$4:$R$116,17,0)</f>
        <v>0.11823725</v>
      </c>
      <c r="J82" s="2"/>
      <c r="K82" s="2"/>
      <c r="L82" s="2"/>
      <c r="M82" s="2"/>
      <c r="N82" s="2"/>
      <c r="O82" s="1">
        <f t="shared" si="14"/>
        <v>3.267658976559273</v>
      </c>
      <c r="Q82" s="3">
        <v>2.161</v>
      </c>
      <c r="R82" s="188">
        <f t="shared" si="15"/>
        <v>0.85000000000000009</v>
      </c>
      <c r="S82" s="189">
        <f t="shared" si="16"/>
        <v>0.39333641832484967</v>
      </c>
    </row>
    <row r="83" spans="1:19" s="27" customFormat="1" ht="15.75" customHeight="1" x14ac:dyDescent="0.25">
      <c r="A83" s="2">
        <f t="shared" si="8"/>
        <v>70</v>
      </c>
      <c r="B83" s="46" t="s">
        <v>28</v>
      </c>
      <c r="C83" s="67">
        <f t="shared" ref="C83:D85" si="19">C82</f>
        <v>3.0110000000000001</v>
      </c>
      <c r="D83" s="68">
        <f t="shared" si="19"/>
        <v>3.8899999999999997E-2</v>
      </c>
      <c r="E83" s="67">
        <f t="shared" si="9"/>
        <v>3.0499000000000001</v>
      </c>
      <c r="F83" s="184">
        <f t="shared" si="18"/>
        <v>3.1600000000000003E-2</v>
      </c>
      <c r="G83" s="67">
        <f t="shared" si="13"/>
        <v>3.149421726559273</v>
      </c>
      <c r="H83" s="66"/>
      <c r="I83" s="67">
        <f>VLOOKUP(B83,'fixed cost'!$B$4:$R$116,17,0)</f>
        <v>0.11823725</v>
      </c>
      <c r="J83" s="66"/>
      <c r="K83" s="66"/>
      <c r="L83" s="66"/>
      <c r="M83" s="67">
        <f>VLOOKUP(B83,'fixed cost'!$B$4:$H$59,7,0)</f>
        <v>0.98415242264196123</v>
      </c>
      <c r="N83" s="67"/>
      <c r="O83" s="67">
        <f t="shared" si="14"/>
        <v>4.2518113992012339</v>
      </c>
      <c r="Q83" s="27">
        <v>2.161</v>
      </c>
      <c r="R83" s="188">
        <f t="shared" si="15"/>
        <v>0.85000000000000009</v>
      </c>
      <c r="S83" s="189">
        <f t="shared" si="16"/>
        <v>0.39333641832484967</v>
      </c>
    </row>
    <row r="84" spans="1:19" s="182" customFormat="1" ht="15.75" customHeight="1" x14ac:dyDescent="0.25">
      <c r="A84" s="58">
        <f t="shared" si="8"/>
        <v>71</v>
      </c>
      <c r="B84" s="59" t="str">
        <f>B83</f>
        <v>SIPAT II</v>
      </c>
      <c r="C84" s="60">
        <f t="shared" si="19"/>
        <v>3.0110000000000001</v>
      </c>
      <c r="D84" s="60">
        <f t="shared" si="19"/>
        <v>3.8899999999999997E-2</v>
      </c>
      <c r="E84" s="60">
        <f t="shared" si="9"/>
        <v>3.0499000000000001</v>
      </c>
      <c r="F84" s="124">
        <f t="shared" si="18"/>
        <v>3.1600000000000003E-2</v>
      </c>
      <c r="G84" s="60">
        <f t="shared" si="13"/>
        <v>3.149421726559273</v>
      </c>
      <c r="H84" s="58"/>
      <c r="I84" s="1">
        <f>VLOOKUP(B84,'fixed cost'!$B$4:$R$116,17,0)</f>
        <v>0.11823725</v>
      </c>
      <c r="J84" s="58"/>
      <c r="K84" s="58"/>
      <c r="L84" s="58"/>
      <c r="M84" s="125"/>
      <c r="N84" s="58">
        <v>0.5</v>
      </c>
      <c r="O84" s="60">
        <f t="shared" si="14"/>
        <v>3.767658976559273</v>
      </c>
      <c r="Q84" s="182">
        <v>2.161</v>
      </c>
      <c r="R84" s="188">
        <f t="shared" si="15"/>
        <v>0.85000000000000009</v>
      </c>
      <c r="S84" s="189">
        <f t="shared" si="16"/>
        <v>0.39333641832484967</v>
      </c>
    </row>
    <row r="85" spans="1:19" s="182" customFormat="1" ht="15.75" customHeight="1" x14ac:dyDescent="0.25">
      <c r="A85" s="146">
        <f t="shared" si="8"/>
        <v>72</v>
      </c>
      <c r="B85" s="147" t="str">
        <f>B84</f>
        <v>SIPAT II</v>
      </c>
      <c r="C85" s="148">
        <f t="shared" si="19"/>
        <v>3.0110000000000001</v>
      </c>
      <c r="D85" s="149">
        <f t="shared" si="19"/>
        <v>3.8899999999999997E-2</v>
      </c>
      <c r="E85" s="148">
        <f t="shared" si="9"/>
        <v>3.0499000000000001</v>
      </c>
      <c r="F85" s="150">
        <f t="shared" si="18"/>
        <v>3.1600000000000003E-2</v>
      </c>
      <c r="G85" s="148">
        <f t="shared" si="13"/>
        <v>3.149421726559273</v>
      </c>
      <c r="H85" s="146"/>
      <c r="I85" s="1">
        <f>VLOOKUP(B85,'fixed cost'!$B$4:$R$116,17,0)</f>
        <v>0.11823725</v>
      </c>
      <c r="J85" s="146"/>
      <c r="K85" s="146"/>
      <c r="L85" s="146"/>
      <c r="M85" s="146"/>
      <c r="N85" s="146">
        <v>0.65</v>
      </c>
      <c r="O85" s="148">
        <f t="shared" si="14"/>
        <v>3.9176589765592729</v>
      </c>
      <c r="Q85" s="182">
        <v>2.161</v>
      </c>
      <c r="R85" s="188">
        <f t="shared" si="15"/>
        <v>0.85000000000000009</v>
      </c>
      <c r="S85" s="189">
        <f t="shared" si="16"/>
        <v>0.39333641832484967</v>
      </c>
    </row>
    <row r="86" spans="1:19" s="95" customFormat="1" ht="15.75" customHeight="1" x14ac:dyDescent="0.25">
      <c r="A86" s="92">
        <f>A84+1</f>
        <v>72</v>
      </c>
      <c r="B86" s="93" t="s">
        <v>117</v>
      </c>
      <c r="C86" s="94">
        <v>5.202</v>
      </c>
      <c r="D86" s="94">
        <v>-0.28599999999999998</v>
      </c>
      <c r="E86" s="94">
        <f t="shared" si="9"/>
        <v>4.9160000000000004</v>
      </c>
      <c r="F86" s="173">
        <f t="shared" si="18"/>
        <v>3.1600000000000003E-2</v>
      </c>
      <c r="G86" s="94">
        <f t="shared" si="13"/>
        <v>5.076414704667493</v>
      </c>
      <c r="H86" s="92"/>
      <c r="I86" s="94">
        <f>VLOOKUP(B86,'fixed cost'!$B$4:$R$116,17,0)</f>
        <v>0</v>
      </c>
      <c r="J86" s="92"/>
      <c r="K86" s="92"/>
      <c r="L86" s="92"/>
      <c r="M86" s="94"/>
      <c r="N86" s="94"/>
      <c r="O86" s="94">
        <f t="shared" si="14"/>
        <v>5.076414704667493</v>
      </c>
      <c r="Q86" s="95">
        <v>5.093</v>
      </c>
      <c r="R86" s="188">
        <f t="shared" si="15"/>
        <v>0.10899999999999999</v>
      </c>
      <c r="S86" s="189">
        <f t="shared" si="16"/>
        <v>2.1401924209699583E-2</v>
      </c>
    </row>
    <row r="87" spans="1:19" s="27" customFormat="1" ht="15.75" customHeight="1" x14ac:dyDescent="0.25">
      <c r="A87" s="2">
        <f t="shared" si="8"/>
        <v>73</v>
      </c>
      <c r="B87" s="46" t="s">
        <v>117</v>
      </c>
      <c r="C87" s="67">
        <f>C86</f>
        <v>5.202</v>
      </c>
      <c r="D87" s="68">
        <f>D86</f>
        <v>-0.28599999999999998</v>
      </c>
      <c r="E87" s="67">
        <f t="shared" si="9"/>
        <v>4.9160000000000004</v>
      </c>
      <c r="F87" s="184">
        <f t="shared" si="18"/>
        <v>3.1600000000000003E-2</v>
      </c>
      <c r="G87" s="67">
        <f t="shared" si="13"/>
        <v>5.076414704667493</v>
      </c>
      <c r="H87" s="66"/>
      <c r="I87" s="67">
        <f>VLOOKUP(B87,'fixed cost'!$B$4:$R$116,17,0)</f>
        <v>0</v>
      </c>
      <c r="J87" s="66"/>
      <c r="K87" s="66"/>
      <c r="L87" s="66"/>
      <c r="M87" s="67">
        <f>VLOOKUP(B87,'fixed cost'!$B$4:$H$59,7,0)</f>
        <v>1.9962858589939085</v>
      </c>
      <c r="N87" s="67"/>
      <c r="O87" s="67">
        <f t="shared" si="14"/>
        <v>7.0727005636614013</v>
      </c>
      <c r="Q87" s="27">
        <v>5.093</v>
      </c>
      <c r="R87" s="188">
        <f t="shared" si="15"/>
        <v>0.10899999999999999</v>
      </c>
      <c r="S87" s="189">
        <f t="shared" si="16"/>
        <v>2.1401924209699583E-2</v>
      </c>
    </row>
    <row r="88" spans="1:19" s="99" customFormat="1" ht="15.75" customHeight="1" x14ac:dyDescent="0.25">
      <c r="A88" s="2">
        <f t="shared" si="8"/>
        <v>74</v>
      </c>
      <c r="B88" s="97" t="s">
        <v>40</v>
      </c>
      <c r="C88" s="98">
        <v>0.82</v>
      </c>
      <c r="D88" s="96"/>
      <c r="E88" s="98">
        <f t="shared" si="9"/>
        <v>0.82</v>
      </c>
      <c r="F88" s="172">
        <f t="shared" si="18"/>
        <v>3.1600000000000003E-2</v>
      </c>
      <c r="G88" s="98">
        <f t="shared" si="13"/>
        <v>0.84675753820735222</v>
      </c>
      <c r="H88" s="96"/>
      <c r="I88" s="98">
        <f>VLOOKUP(B88,'fixed cost'!$B$4:$R$116,17,0)</f>
        <v>0</v>
      </c>
      <c r="J88" s="96"/>
      <c r="K88" s="96"/>
      <c r="L88" s="96"/>
      <c r="M88" s="96"/>
      <c r="N88" s="96"/>
      <c r="O88" s="98">
        <f t="shared" si="14"/>
        <v>0.84675753820735222</v>
      </c>
      <c r="Q88" s="99">
        <v>0.82</v>
      </c>
      <c r="R88" s="188">
        <f t="shared" si="15"/>
        <v>0</v>
      </c>
      <c r="S88" s="189">
        <f t="shared" si="16"/>
        <v>0</v>
      </c>
    </row>
    <row r="89" spans="1:19" s="27" customFormat="1" ht="15.75" customHeight="1" x14ac:dyDescent="0.25">
      <c r="A89" s="2">
        <f t="shared" si="8"/>
        <v>75</v>
      </c>
      <c r="B89" s="4" t="s">
        <v>54</v>
      </c>
      <c r="C89" s="1">
        <v>3.3109999999999999</v>
      </c>
      <c r="D89" s="1"/>
      <c r="E89" s="1">
        <f t="shared" si="9"/>
        <v>3.3109999999999999</v>
      </c>
      <c r="F89" s="7"/>
      <c r="G89" s="1">
        <f t="shared" si="13"/>
        <v>3.3109999999999999</v>
      </c>
      <c r="H89" s="2"/>
      <c r="I89" s="1">
        <f>VLOOKUP(B89,'fixed cost'!$B$4:$R$116,17,0)</f>
        <v>0</v>
      </c>
      <c r="J89" s="2"/>
      <c r="K89" s="2"/>
      <c r="L89" s="2"/>
      <c r="M89" s="2"/>
      <c r="N89" s="2"/>
      <c r="O89" s="1">
        <f t="shared" si="14"/>
        <v>3.3109999999999999</v>
      </c>
      <c r="Q89" s="27">
        <v>3.2109999999999999</v>
      </c>
      <c r="R89" s="188">
        <f t="shared" si="15"/>
        <v>0.10000000000000009</v>
      </c>
      <c r="S89" s="189">
        <f t="shared" si="16"/>
        <v>3.1142946122703238E-2</v>
      </c>
    </row>
    <row r="90" spans="1:19" s="27" customFormat="1" ht="32.25" customHeight="1" x14ac:dyDescent="0.25">
      <c r="A90" s="2">
        <f t="shared" si="8"/>
        <v>76</v>
      </c>
      <c r="B90" s="13" t="s">
        <v>167</v>
      </c>
      <c r="C90" s="1">
        <v>2.9929999999999999</v>
      </c>
      <c r="D90" s="1"/>
      <c r="E90" s="1">
        <f t="shared" si="9"/>
        <v>2.9929999999999999</v>
      </c>
      <c r="F90" s="7"/>
      <c r="G90" s="1">
        <f t="shared" si="13"/>
        <v>2.9929999999999999</v>
      </c>
      <c r="H90" s="2"/>
      <c r="I90" s="1">
        <f>VLOOKUP(B90,'fixed cost'!$B$4:$R$116,17,0)</f>
        <v>0</v>
      </c>
      <c r="J90" s="2"/>
      <c r="K90" s="2"/>
      <c r="L90" s="2"/>
      <c r="M90" s="2"/>
      <c r="N90" s="2"/>
      <c r="O90" s="1">
        <f t="shared" si="14"/>
        <v>2.9929999999999999</v>
      </c>
      <c r="Q90" s="27">
        <v>2.9159999999999999</v>
      </c>
      <c r="R90" s="188">
        <f t="shared" si="15"/>
        <v>7.6999999999999957E-2</v>
      </c>
      <c r="S90" s="189">
        <f t="shared" si="16"/>
        <v>2.6406035665294911E-2</v>
      </c>
    </row>
    <row r="91" spans="1:19" ht="15.75" customHeight="1" x14ac:dyDescent="0.25">
      <c r="A91" s="2">
        <f t="shared" si="8"/>
        <v>77</v>
      </c>
      <c r="B91" s="13" t="s">
        <v>50</v>
      </c>
      <c r="C91" s="1">
        <v>2.7949999999999999</v>
      </c>
      <c r="D91" s="1"/>
      <c r="E91" s="1">
        <f t="shared" si="9"/>
        <v>2.7949999999999999</v>
      </c>
      <c r="F91" s="7"/>
      <c r="G91" s="1">
        <f t="shared" si="13"/>
        <v>2.7949999999999999</v>
      </c>
      <c r="H91" s="2"/>
      <c r="I91" s="1">
        <f>VLOOKUP(B91,'fixed cost'!$B$4:$R$116,17,0)</f>
        <v>0</v>
      </c>
      <c r="J91" s="2"/>
      <c r="K91" s="2"/>
      <c r="L91" s="2"/>
      <c r="M91" s="2"/>
      <c r="N91" s="2"/>
      <c r="O91" s="1">
        <f t="shared" si="14"/>
        <v>2.7949999999999999</v>
      </c>
      <c r="Q91" s="3">
        <v>3.0550000000000002</v>
      </c>
      <c r="R91" s="188">
        <f t="shared" si="15"/>
        <v>-0.26000000000000023</v>
      </c>
      <c r="S91" s="189">
        <f t="shared" si="16"/>
        <v>-8.5106382978723472E-2</v>
      </c>
    </row>
    <row r="92" spans="1:19" s="27" customFormat="1" ht="15.75" customHeight="1" x14ac:dyDescent="0.25">
      <c r="A92" s="2">
        <f t="shared" si="8"/>
        <v>78</v>
      </c>
      <c r="B92" s="4" t="s">
        <v>60</v>
      </c>
      <c r="C92" s="1">
        <v>2.33</v>
      </c>
      <c r="D92" s="9"/>
      <c r="E92" s="1">
        <f t="shared" si="9"/>
        <v>2.33</v>
      </c>
      <c r="F92" s="7"/>
      <c r="G92" s="1">
        <f t="shared" si="13"/>
        <v>2.33</v>
      </c>
      <c r="H92" s="2"/>
      <c r="I92" s="1">
        <f>VLOOKUP(B92,'fixed cost'!$B$4:$R$116,17,0)</f>
        <v>0</v>
      </c>
      <c r="J92" s="2"/>
      <c r="K92" s="2"/>
      <c r="L92" s="2"/>
      <c r="M92" s="2"/>
      <c r="N92" s="2"/>
      <c r="O92" s="1">
        <f t="shared" si="14"/>
        <v>2.33</v>
      </c>
      <c r="Q92" s="27">
        <v>2.4580000000000002</v>
      </c>
      <c r="R92" s="188">
        <f t="shared" si="15"/>
        <v>-0.12800000000000011</v>
      </c>
      <c r="S92" s="189">
        <f t="shared" si="16"/>
        <v>-5.2074857607811269E-2</v>
      </c>
    </row>
    <row r="93" spans="1:19" s="61" customFormat="1" ht="15.75" customHeight="1" x14ac:dyDescent="0.25">
      <c r="A93" s="58">
        <f t="shared" si="8"/>
        <v>79</v>
      </c>
      <c r="B93" s="59" t="s">
        <v>60</v>
      </c>
      <c r="C93" s="60">
        <f>C92</f>
        <v>2.33</v>
      </c>
      <c r="D93" s="106">
        <f>D92</f>
        <v>0</v>
      </c>
      <c r="E93" s="60">
        <f t="shared" si="9"/>
        <v>2.33</v>
      </c>
      <c r="F93" s="124"/>
      <c r="G93" s="60">
        <f t="shared" si="13"/>
        <v>2.33</v>
      </c>
      <c r="H93" s="58"/>
      <c r="I93" s="1">
        <f>VLOOKUP(B93,'fixed cost'!$B$4:$R$116,17,0)</f>
        <v>0</v>
      </c>
      <c r="J93" s="58"/>
      <c r="K93" s="58"/>
      <c r="L93" s="58"/>
      <c r="M93" s="58"/>
      <c r="N93" s="58">
        <v>0.5</v>
      </c>
      <c r="O93" s="60">
        <f t="shared" si="14"/>
        <v>2.83</v>
      </c>
      <c r="Q93" s="61">
        <v>2.4580000000000002</v>
      </c>
      <c r="R93" s="188">
        <f t="shared" si="15"/>
        <v>-0.12800000000000011</v>
      </c>
      <c r="S93" s="189">
        <f t="shared" si="16"/>
        <v>-5.2074857607811269E-2</v>
      </c>
    </row>
    <row r="94" spans="1:19" s="152" customFormat="1" ht="15.75" customHeight="1" x14ac:dyDescent="0.25">
      <c r="A94" s="146">
        <f t="shared" si="8"/>
        <v>80</v>
      </c>
      <c r="B94" s="147" t="s">
        <v>60</v>
      </c>
      <c r="C94" s="148">
        <f>C93</f>
        <v>2.33</v>
      </c>
      <c r="D94" s="151">
        <f>D93</f>
        <v>0</v>
      </c>
      <c r="E94" s="148">
        <f t="shared" si="9"/>
        <v>2.33</v>
      </c>
      <c r="F94" s="150"/>
      <c r="G94" s="148">
        <f t="shared" si="13"/>
        <v>2.33</v>
      </c>
      <c r="H94" s="146"/>
      <c r="I94" s="1">
        <f>VLOOKUP(B94,'fixed cost'!$B$4:$R$116,17,0)</f>
        <v>0</v>
      </c>
      <c r="J94" s="146"/>
      <c r="K94" s="146"/>
      <c r="L94" s="146"/>
      <c r="M94" s="146"/>
      <c r="N94" s="146">
        <v>0.65</v>
      </c>
      <c r="O94" s="148">
        <f t="shared" si="14"/>
        <v>2.98</v>
      </c>
      <c r="Q94" s="152">
        <v>2.4580000000000002</v>
      </c>
      <c r="R94" s="188">
        <f t="shared" si="15"/>
        <v>-0.12800000000000011</v>
      </c>
      <c r="S94" s="189">
        <f t="shared" si="16"/>
        <v>-5.2074857607811269E-2</v>
      </c>
    </row>
    <row r="95" spans="1:19" s="95" customFormat="1" ht="15.75" customHeight="1" x14ac:dyDescent="0.25">
      <c r="A95" s="92">
        <f>A93+1</f>
        <v>80</v>
      </c>
      <c r="B95" s="93" t="s">
        <v>15</v>
      </c>
      <c r="C95" s="94">
        <v>9.89</v>
      </c>
      <c r="D95" s="94"/>
      <c r="E95" s="94">
        <f t="shared" si="9"/>
        <v>9.89</v>
      </c>
      <c r="F95" s="173">
        <f>F88</f>
        <v>3.1600000000000003E-2</v>
      </c>
      <c r="G95" s="94">
        <f t="shared" si="13"/>
        <v>10.212722015695993</v>
      </c>
      <c r="H95" s="100"/>
      <c r="I95" s="94">
        <f>VLOOKUP(B95,'fixed cost'!$B$4:$R$116,17,0)</f>
        <v>0</v>
      </c>
      <c r="J95" s="92">
        <v>0.05</v>
      </c>
      <c r="K95" s="92"/>
      <c r="L95" s="92"/>
      <c r="M95" s="94"/>
      <c r="N95" s="94"/>
      <c r="O95" s="94">
        <f t="shared" si="14"/>
        <v>10.262722015695994</v>
      </c>
      <c r="Q95" s="95">
        <v>9.89</v>
      </c>
      <c r="R95" s="188">
        <f t="shared" si="15"/>
        <v>0</v>
      </c>
      <c r="S95" s="189">
        <f t="shared" si="16"/>
        <v>0</v>
      </c>
    </row>
    <row r="96" spans="1:19" s="27" customFormat="1" ht="15.75" customHeight="1" x14ac:dyDescent="0.25">
      <c r="A96" s="2">
        <f t="shared" si="8"/>
        <v>81</v>
      </c>
      <c r="B96" s="4" t="s">
        <v>31</v>
      </c>
      <c r="C96" s="1">
        <v>1.5740000000000001</v>
      </c>
      <c r="D96" s="1">
        <v>-4.2999999999999997E-2</v>
      </c>
      <c r="E96" s="1">
        <f t="shared" si="9"/>
        <v>1.5310000000000001</v>
      </c>
      <c r="F96" s="7">
        <f>F95</f>
        <v>3.1600000000000003E-2</v>
      </c>
      <c r="G96" s="1">
        <f t="shared" si="13"/>
        <v>1.5809582817017762</v>
      </c>
      <c r="H96" s="5">
        <v>0.15</v>
      </c>
      <c r="I96" s="1">
        <f>VLOOKUP(B96,'fixed cost'!$B$4:$R$116,17,0)</f>
        <v>9.1908000000000017E-2</v>
      </c>
      <c r="J96" s="2"/>
      <c r="K96" s="2"/>
      <c r="L96" s="2"/>
      <c r="M96" s="2"/>
      <c r="N96" s="2"/>
      <c r="O96" s="1">
        <f t="shared" si="14"/>
        <v>1.8228662817017762</v>
      </c>
      <c r="Q96" s="27">
        <v>1.831</v>
      </c>
      <c r="R96" s="188">
        <f t="shared" si="15"/>
        <v>-0.2569999999999999</v>
      </c>
      <c r="S96" s="189">
        <f t="shared" si="16"/>
        <v>-0.14036045876570175</v>
      </c>
    </row>
    <row r="97" spans="1:19" s="27" customFormat="1" ht="15.75" customHeight="1" x14ac:dyDescent="0.25">
      <c r="A97" s="2">
        <f t="shared" si="8"/>
        <v>82</v>
      </c>
      <c r="B97" s="46" t="s">
        <v>31</v>
      </c>
      <c r="C97" s="67">
        <f t="shared" ref="C97:D99" si="20">C96</f>
        <v>1.5740000000000001</v>
      </c>
      <c r="D97" s="68">
        <f t="shared" si="20"/>
        <v>-4.2999999999999997E-2</v>
      </c>
      <c r="E97" s="67">
        <f t="shared" si="9"/>
        <v>1.5310000000000001</v>
      </c>
      <c r="F97" s="184">
        <f t="shared" ref="F97:F158" si="21">F96</f>
        <v>3.1600000000000003E-2</v>
      </c>
      <c r="G97" s="67">
        <f t="shared" si="13"/>
        <v>1.5809582817017762</v>
      </c>
      <c r="H97" s="66">
        <v>0.15</v>
      </c>
      <c r="I97" s="67">
        <f>VLOOKUP(B97,'fixed cost'!$B$4:$R$116,17,0)</f>
        <v>9.1908000000000017E-2</v>
      </c>
      <c r="J97" s="66"/>
      <c r="K97" s="66"/>
      <c r="L97" s="66"/>
      <c r="M97" s="67">
        <f>VLOOKUP(B97,'fixed cost'!$B$4:$H$59,7,0)</f>
        <v>0.91733520477620856</v>
      </c>
      <c r="N97" s="67"/>
      <c r="O97" s="67">
        <f t="shared" si="14"/>
        <v>2.7402014864779849</v>
      </c>
      <c r="Q97" s="27">
        <v>1.831</v>
      </c>
      <c r="R97" s="188">
        <f t="shared" si="15"/>
        <v>-0.2569999999999999</v>
      </c>
      <c r="S97" s="189">
        <f t="shared" si="16"/>
        <v>-0.14036045876570175</v>
      </c>
    </row>
    <row r="98" spans="1:19" s="182" customFormat="1" ht="15.75" customHeight="1" x14ac:dyDescent="0.25">
      <c r="A98" s="58">
        <f t="shared" si="8"/>
        <v>83</v>
      </c>
      <c r="B98" s="59" t="s">
        <v>31</v>
      </c>
      <c r="C98" s="60">
        <f t="shared" si="20"/>
        <v>1.5740000000000001</v>
      </c>
      <c r="D98" s="60">
        <f t="shared" si="20"/>
        <v>-4.2999999999999997E-2</v>
      </c>
      <c r="E98" s="60">
        <f t="shared" si="9"/>
        <v>1.5310000000000001</v>
      </c>
      <c r="F98" s="124">
        <f t="shared" si="21"/>
        <v>3.1600000000000003E-2</v>
      </c>
      <c r="G98" s="60">
        <f t="shared" si="13"/>
        <v>1.5809582817017762</v>
      </c>
      <c r="H98" s="58">
        <v>0.15</v>
      </c>
      <c r="I98" s="1">
        <f>VLOOKUP(B98,'fixed cost'!$B$4:$R$116,17,0)</f>
        <v>9.1908000000000017E-2</v>
      </c>
      <c r="J98" s="58"/>
      <c r="K98" s="58"/>
      <c r="L98" s="58"/>
      <c r="M98" s="125"/>
      <c r="N98" s="58">
        <v>0.5</v>
      </c>
      <c r="O98" s="60">
        <f>SUM(G98:N98)</f>
        <v>2.322866281701776</v>
      </c>
      <c r="Q98" s="182">
        <v>1.831</v>
      </c>
      <c r="R98" s="188">
        <f t="shared" si="15"/>
        <v>-0.2569999999999999</v>
      </c>
      <c r="S98" s="189">
        <f t="shared" si="16"/>
        <v>-0.14036045876570175</v>
      </c>
    </row>
    <row r="99" spans="1:19" s="182" customFormat="1" ht="15.75" customHeight="1" x14ac:dyDescent="0.25">
      <c r="A99" s="146">
        <v>84</v>
      </c>
      <c r="B99" s="147" t="s">
        <v>31</v>
      </c>
      <c r="C99" s="148">
        <f t="shared" si="20"/>
        <v>1.5740000000000001</v>
      </c>
      <c r="D99" s="149">
        <f t="shared" si="20"/>
        <v>-4.2999999999999997E-2</v>
      </c>
      <c r="E99" s="148">
        <f>E98</f>
        <v>1.5310000000000001</v>
      </c>
      <c r="F99" s="150">
        <f>F98</f>
        <v>3.1600000000000003E-2</v>
      </c>
      <c r="G99" s="148">
        <f>G98</f>
        <v>1.5809582817017762</v>
      </c>
      <c r="H99" s="146">
        <f>H98</f>
        <v>0.15</v>
      </c>
      <c r="I99" s="1">
        <f>I98</f>
        <v>9.1908000000000017E-2</v>
      </c>
      <c r="J99" s="146"/>
      <c r="K99" s="146"/>
      <c r="L99" s="146"/>
      <c r="M99" s="146"/>
      <c r="N99" s="146">
        <v>0.65</v>
      </c>
      <c r="O99" s="148">
        <f>SUM(G99:N99)</f>
        <v>2.4728662817017764</v>
      </c>
      <c r="Q99" s="182">
        <v>1.831</v>
      </c>
      <c r="R99" s="188">
        <f t="shared" si="15"/>
        <v>-0.2569999999999999</v>
      </c>
      <c r="S99" s="189">
        <f t="shared" si="16"/>
        <v>-0.14036045876570175</v>
      </c>
    </row>
    <row r="100" spans="1:19" s="27" customFormat="1" ht="15.75" customHeight="1" x14ac:dyDescent="0.25">
      <c r="A100" s="2">
        <v>85</v>
      </c>
      <c r="B100" s="4" t="s">
        <v>34</v>
      </c>
      <c r="C100" s="1">
        <v>1.516</v>
      </c>
      <c r="D100" s="1">
        <v>-4.4900000000000002E-2</v>
      </c>
      <c r="E100" s="1">
        <f t="shared" si="9"/>
        <v>1.4711000000000001</v>
      </c>
      <c r="F100" s="7">
        <f>F98</f>
        <v>3.1600000000000003E-2</v>
      </c>
      <c r="G100" s="1">
        <f t="shared" si="13"/>
        <v>1.5191036761668733</v>
      </c>
      <c r="H100" s="5">
        <v>0.15</v>
      </c>
      <c r="I100" s="1">
        <f>VLOOKUP(B100,'fixed cost'!$B$4:$R$116,17,0)</f>
        <v>6.6888599999999993E-2</v>
      </c>
      <c r="J100" s="2"/>
      <c r="K100" s="2"/>
      <c r="L100" s="2"/>
      <c r="M100" s="2"/>
      <c r="N100" s="2"/>
      <c r="O100" s="1">
        <f t="shared" si="14"/>
        <v>1.7359922761668731</v>
      </c>
      <c r="Q100" s="27">
        <v>1.4930000000000001</v>
      </c>
      <c r="R100" s="188">
        <f t="shared" si="15"/>
        <v>2.2999999999999909E-2</v>
      </c>
      <c r="S100" s="189">
        <f t="shared" si="16"/>
        <v>1.5405224380442001E-2</v>
      </c>
    </row>
    <row r="101" spans="1:19" s="27" customFormat="1" ht="15.75" customHeight="1" x14ac:dyDescent="0.25">
      <c r="A101" s="2">
        <f t="shared" ref="A101:A164" si="22">A100+1</f>
        <v>86</v>
      </c>
      <c r="B101" s="46" t="s">
        <v>34</v>
      </c>
      <c r="C101" s="67">
        <f t="shared" ref="C101:D103" si="23">C100</f>
        <v>1.516</v>
      </c>
      <c r="D101" s="68">
        <f t="shared" si="23"/>
        <v>-4.4900000000000002E-2</v>
      </c>
      <c r="E101" s="67">
        <f t="shared" si="9"/>
        <v>1.4711000000000001</v>
      </c>
      <c r="F101" s="184">
        <f t="shared" si="21"/>
        <v>3.1600000000000003E-2</v>
      </c>
      <c r="G101" s="67">
        <f t="shared" si="13"/>
        <v>1.5191036761668733</v>
      </c>
      <c r="H101" s="66">
        <v>0.15</v>
      </c>
      <c r="I101" s="67">
        <f>VLOOKUP(B101,'fixed cost'!$B$4:$R$116,17,0)</f>
        <v>6.6888599999999993E-2</v>
      </c>
      <c r="J101" s="66"/>
      <c r="K101" s="66"/>
      <c r="L101" s="66"/>
      <c r="M101" s="67">
        <f>VLOOKUP(B101,'fixed cost'!$B$4:$H$59,7,0)</f>
        <v>0.78386921953636013</v>
      </c>
      <c r="N101" s="67"/>
      <c r="O101" s="67">
        <f t="shared" si="14"/>
        <v>2.5198614957032333</v>
      </c>
      <c r="Q101" s="27">
        <v>1.4930000000000001</v>
      </c>
      <c r="R101" s="188">
        <f t="shared" si="15"/>
        <v>2.2999999999999909E-2</v>
      </c>
      <c r="S101" s="189">
        <f t="shared" si="16"/>
        <v>1.5405224380442001E-2</v>
      </c>
    </row>
    <row r="102" spans="1:19" s="61" customFormat="1" ht="15.75" customHeight="1" x14ac:dyDescent="0.25">
      <c r="A102" s="58">
        <f t="shared" si="22"/>
        <v>87</v>
      </c>
      <c r="B102" s="59" t="s">
        <v>34</v>
      </c>
      <c r="C102" s="60">
        <f t="shared" si="23"/>
        <v>1.516</v>
      </c>
      <c r="D102" s="60">
        <f t="shared" si="23"/>
        <v>-4.4900000000000002E-2</v>
      </c>
      <c r="E102" s="60">
        <f t="shared" si="9"/>
        <v>1.4711000000000001</v>
      </c>
      <c r="F102" s="124">
        <f>F101</f>
        <v>3.1600000000000003E-2</v>
      </c>
      <c r="G102" s="60">
        <f t="shared" si="13"/>
        <v>1.5191036761668733</v>
      </c>
      <c r="H102" s="58">
        <v>0.15</v>
      </c>
      <c r="I102" s="1">
        <f>VLOOKUP(B102,'fixed cost'!$B$4:$R$116,17,0)</f>
        <v>6.6888599999999993E-2</v>
      </c>
      <c r="J102" s="58"/>
      <c r="K102" s="58"/>
      <c r="L102" s="58"/>
      <c r="M102" s="125"/>
      <c r="N102" s="58">
        <v>0.5</v>
      </c>
      <c r="O102" s="60">
        <f t="shared" si="14"/>
        <v>2.2359922761668729</v>
      </c>
      <c r="Q102" s="61">
        <v>1.4930000000000001</v>
      </c>
      <c r="R102" s="188">
        <f t="shared" si="15"/>
        <v>2.2999999999999909E-2</v>
      </c>
      <c r="S102" s="189">
        <f t="shared" si="16"/>
        <v>1.5405224380442001E-2</v>
      </c>
    </row>
    <row r="103" spans="1:19" s="61" customFormat="1" ht="15.75" customHeight="1" x14ac:dyDescent="0.25">
      <c r="A103" s="146">
        <f t="shared" si="22"/>
        <v>88</v>
      </c>
      <c r="B103" s="147" t="s">
        <v>34</v>
      </c>
      <c r="C103" s="148">
        <f t="shared" si="23"/>
        <v>1.516</v>
      </c>
      <c r="D103" s="149">
        <f t="shared" si="23"/>
        <v>-4.4900000000000002E-2</v>
      </c>
      <c r="E103" s="148">
        <f t="shared" si="9"/>
        <v>1.4711000000000001</v>
      </c>
      <c r="F103" s="150">
        <f t="shared" si="21"/>
        <v>3.1600000000000003E-2</v>
      </c>
      <c r="G103" s="148">
        <f t="shared" si="13"/>
        <v>1.5191036761668733</v>
      </c>
      <c r="H103" s="146">
        <v>0.15</v>
      </c>
      <c r="I103" s="1">
        <f>VLOOKUP(B103,'fixed cost'!$B$4:$R$116,17,0)</f>
        <v>6.6888599999999993E-2</v>
      </c>
      <c r="J103" s="146"/>
      <c r="K103" s="146"/>
      <c r="L103" s="146"/>
      <c r="M103" s="146"/>
      <c r="N103" s="146">
        <v>0.65</v>
      </c>
      <c r="O103" s="148">
        <f t="shared" si="14"/>
        <v>2.3859922761668733</v>
      </c>
      <c r="Q103" s="61">
        <v>1.4930000000000001</v>
      </c>
      <c r="R103" s="188">
        <f t="shared" si="15"/>
        <v>2.2999999999999909E-2</v>
      </c>
      <c r="S103" s="189">
        <f t="shared" si="16"/>
        <v>1.5405224380442001E-2</v>
      </c>
    </row>
    <row r="104" spans="1:19" s="27" customFormat="1" ht="15.75" customHeight="1" x14ac:dyDescent="0.25">
      <c r="A104" s="2">
        <f>A102+1</f>
        <v>88</v>
      </c>
      <c r="B104" s="4" t="s">
        <v>30</v>
      </c>
      <c r="C104" s="1">
        <v>1.5029999999999999</v>
      </c>
      <c r="D104" s="1">
        <v>-4.1000000000000002E-2</v>
      </c>
      <c r="E104" s="1">
        <f t="shared" si="9"/>
        <v>1.462</v>
      </c>
      <c r="F104" s="7">
        <f t="shared" si="21"/>
        <v>3.1600000000000003E-2</v>
      </c>
      <c r="G104" s="1">
        <f t="shared" si="13"/>
        <v>1.5097067327550597</v>
      </c>
      <c r="H104" s="5">
        <v>0.15</v>
      </c>
      <c r="I104" s="1">
        <f>VLOOKUP(B104,'fixed cost'!$B$4:$R$116,17,0)</f>
        <v>5.8719E-2</v>
      </c>
      <c r="J104" s="2"/>
      <c r="K104" s="2"/>
      <c r="L104" s="2"/>
      <c r="M104" s="2"/>
      <c r="N104" s="2"/>
      <c r="O104" s="1">
        <f t="shared" si="14"/>
        <v>1.7184257327550596</v>
      </c>
      <c r="Q104" s="27">
        <v>1.8080000000000001</v>
      </c>
      <c r="R104" s="188">
        <f t="shared" si="15"/>
        <v>-0.30500000000000016</v>
      </c>
      <c r="S104" s="189">
        <f t="shared" si="16"/>
        <v>-0.16869469026548681</v>
      </c>
    </row>
    <row r="105" spans="1:19" s="27" customFormat="1" ht="15.75" customHeight="1" x14ac:dyDescent="0.25">
      <c r="A105" s="2">
        <f t="shared" si="22"/>
        <v>89</v>
      </c>
      <c r="B105" s="46" t="s">
        <v>30</v>
      </c>
      <c r="C105" s="67">
        <f t="shared" ref="C105:D107" si="24">C104</f>
        <v>1.5029999999999999</v>
      </c>
      <c r="D105" s="68">
        <f t="shared" si="24"/>
        <v>-4.1000000000000002E-2</v>
      </c>
      <c r="E105" s="67">
        <f t="shared" si="9"/>
        <v>1.462</v>
      </c>
      <c r="F105" s="184">
        <f t="shared" si="21"/>
        <v>3.1600000000000003E-2</v>
      </c>
      <c r="G105" s="67">
        <f t="shared" si="13"/>
        <v>1.5097067327550597</v>
      </c>
      <c r="H105" s="66">
        <v>0.15</v>
      </c>
      <c r="I105" s="67">
        <f>VLOOKUP(B105,'fixed cost'!$B$4:$R$116,17,0)</f>
        <v>5.8719E-2</v>
      </c>
      <c r="J105" s="66"/>
      <c r="K105" s="66"/>
      <c r="L105" s="66"/>
      <c r="M105" s="67">
        <f>VLOOKUP(B105,'fixed cost'!$B$4:$H$59,7,0)</f>
        <v>0.91111985072361856</v>
      </c>
      <c r="N105" s="67"/>
      <c r="O105" s="67">
        <f t="shared" si="14"/>
        <v>2.6295455834786781</v>
      </c>
      <c r="Q105" s="27">
        <v>1.8080000000000001</v>
      </c>
      <c r="R105" s="188">
        <f t="shared" si="15"/>
        <v>-0.30500000000000016</v>
      </c>
      <c r="S105" s="189">
        <f t="shared" si="16"/>
        <v>-0.16869469026548681</v>
      </c>
    </row>
    <row r="106" spans="1:19" s="182" customFormat="1" ht="15.75" customHeight="1" x14ac:dyDescent="0.25">
      <c r="A106" s="58">
        <f t="shared" si="22"/>
        <v>90</v>
      </c>
      <c r="B106" s="59" t="s">
        <v>30</v>
      </c>
      <c r="C106" s="60">
        <f t="shared" si="24"/>
        <v>1.5029999999999999</v>
      </c>
      <c r="D106" s="60">
        <f t="shared" si="24"/>
        <v>-4.1000000000000002E-2</v>
      </c>
      <c r="E106" s="60">
        <f t="shared" si="9"/>
        <v>1.462</v>
      </c>
      <c r="F106" s="124">
        <f t="shared" si="21"/>
        <v>3.1600000000000003E-2</v>
      </c>
      <c r="G106" s="60">
        <f t="shared" si="13"/>
        <v>1.5097067327550597</v>
      </c>
      <c r="H106" s="58">
        <v>0.15</v>
      </c>
      <c r="I106" s="1">
        <f>VLOOKUP(B106,'fixed cost'!$B$4:$R$116,17,0)</f>
        <v>5.8719E-2</v>
      </c>
      <c r="J106" s="58"/>
      <c r="K106" s="58"/>
      <c r="L106" s="58"/>
      <c r="M106" s="125"/>
      <c r="N106" s="58">
        <v>0.5</v>
      </c>
      <c r="O106" s="60">
        <f t="shared" si="14"/>
        <v>2.2184257327550596</v>
      </c>
      <c r="Q106" s="182">
        <v>1.8080000000000001</v>
      </c>
      <c r="R106" s="188">
        <f t="shared" si="15"/>
        <v>-0.30500000000000016</v>
      </c>
      <c r="S106" s="189">
        <f t="shared" si="16"/>
        <v>-0.16869469026548681</v>
      </c>
    </row>
    <row r="107" spans="1:19" s="182" customFormat="1" ht="15.75" customHeight="1" x14ac:dyDescent="0.25">
      <c r="A107" s="146">
        <f t="shared" si="22"/>
        <v>91</v>
      </c>
      <c r="B107" s="147" t="s">
        <v>30</v>
      </c>
      <c r="C107" s="148">
        <f t="shared" si="24"/>
        <v>1.5029999999999999</v>
      </c>
      <c r="D107" s="149">
        <f t="shared" si="24"/>
        <v>-4.1000000000000002E-2</v>
      </c>
      <c r="E107" s="148">
        <f t="shared" si="9"/>
        <v>1.462</v>
      </c>
      <c r="F107" s="150">
        <f t="shared" si="21"/>
        <v>3.1600000000000003E-2</v>
      </c>
      <c r="G107" s="148">
        <f t="shared" si="13"/>
        <v>1.5097067327550597</v>
      </c>
      <c r="H107" s="146">
        <v>0.15</v>
      </c>
      <c r="I107" s="1">
        <f>VLOOKUP(B107,'fixed cost'!$B$4:$R$116,17,0)</f>
        <v>5.8719E-2</v>
      </c>
      <c r="J107" s="146"/>
      <c r="K107" s="146"/>
      <c r="L107" s="146"/>
      <c r="M107" s="146"/>
      <c r="N107" s="146">
        <v>0.65</v>
      </c>
      <c r="O107" s="148">
        <f t="shared" si="14"/>
        <v>2.3684257327550595</v>
      </c>
      <c r="Q107" s="182">
        <v>1.8080000000000001</v>
      </c>
      <c r="R107" s="188">
        <f t="shared" si="15"/>
        <v>-0.30500000000000016</v>
      </c>
      <c r="S107" s="189">
        <f t="shared" si="16"/>
        <v>-0.16869469026548681</v>
      </c>
    </row>
    <row r="108" spans="1:19" s="61" customFormat="1" ht="15.75" customHeight="1" x14ac:dyDescent="0.25">
      <c r="A108" s="2">
        <f>A106+1</f>
        <v>91</v>
      </c>
      <c r="B108" s="4" t="s">
        <v>33</v>
      </c>
      <c r="C108" s="1">
        <v>1.484</v>
      </c>
      <c r="D108" s="1">
        <v>-0.04</v>
      </c>
      <c r="E108" s="1">
        <f t="shared" si="9"/>
        <v>1.444</v>
      </c>
      <c r="F108" s="7">
        <f t="shared" si="21"/>
        <v>3.1600000000000003E-2</v>
      </c>
      <c r="G108" s="1">
        <f t="shared" si="13"/>
        <v>1.4911193721602642</v>
      </c>
      <c r="H108" s="5">
        <v>0.15</v>
      </c>
      <c r="I108" s="1">
        <f>VLOOKUP(B108,'fixed cost'!$B$4:$R$116,17,0)</f>
        <v>5.8719E-2</v>
      </c>
      <c r="J108" s="2"/>
      <c r="K108" s="2"/>
      <c r="L108" s="2"/>
      <c r="M108" s="2"/>
      <c r="N108" s="2"/>
      <c r="O108" s="1">
        <f t="shared" si="14"/>
        <v>1.6998383721602641</v>
      </c>
      <c r="Q108" s="61">
        <v>1.7470000000000001</v>
      </c>
      <c r="R108" s="188">
        <f t="shared" si="15"/>
        <v>-0.26300000000000012</v>
      </c>
      <c r="S108" s="189">
        <f t="shared" si="16"/>
        <v>-0.15054378935317694</v>
      </c>
    </row>
    <row r="109" spans="1:19" s="27" customFormat="1" ht="15.75" customHeight="1" x14ac:dyDescent="0.25">
      <c r="A109" s="2">
        <f t="shared" si="22"/>
        <v>92</v>
      </c>
      <c r="B109" s="46" t="s">
        <v>33</v>
      </c>
      <c r="C109" s="67">
        <f t="shared" ref="C109:D111" si="25">C108</f>
        <v>1.484</v>
      </c>
      <c r="D109" s="68">
        <f t="shared" si="25"/>
        <v>-0.04</v>
      </c>
      <c r="E109" s="67">
        <f t="shared" si="9"/>
        <v>1.444</v>
      </c>
      <c r="F109" s="184">
        <f t="shared" si="21"/>
        <v>3.1600000000000003E-2</v>
      </c>
      <c r="G109" s="67">
        <f t="shared" si="13"/>
        <v>1.4911193721602642</v>
      </c>
      <c r="H109" s="66">
        <v>0.15</v>
      </c>
      <c r="I109" s="67">
        <f>VLOOKUP(B109,'fixed cost'!$B$4:$R$116,17,0)</f>
        <v>5.8719E-2</v>
      </c>
      <c r="J109" s="66"/>
      <c r="K109" s="66"/>
      <c r="L109" s="66"/>
      <c r="M109" s="67">
        <f>VLOOKUP(B109,'fixed cost'!$B$4:$H$59,7,0)</f>
        <v>1.6494464476681268</v>
      </c>
      <c r="N109" s="67"/>
      <c r="O109" s="67">
        <f t="shared" si="14"/>
        <v>3.3492848198283909</v>
      </c>
      <c r="Q109" s="27">
        <v>1.7470000000000001</v>
      </c>
      <c r="R109" s="188">
        <f t="shared" si="15"/>
        <v>-0.26300000000000012</v>
      </c>
      <c r="S109" s="189">
        <f t="shared" si="16"/>
        <v>-0.15054378935317694</v>
      </c>
    </row>
    <row r="110" spans="1:19" s="182" customFormat="1" ht="15.75" customHeight="1" x14ac:dyDescent="0.25">
      <c r="A110" s="58">
        <f t="shared" si="22"/>
        <v>93</v>
      </c>
      <c r="B110" s="59" t="s">
        <v>33</v>
      </c>
      <c r="C110" s="60">
        <f t="shared" si="25"/>
        <v>1.484</v>
      </c>
      <c r="D110" s="60">
        <f t="shared" si="25"/>
        <v>-0.04</v>
      </c>
      <c r="E110" s="60">
        <f t="shared" si="9"/>
        <v>1.444</v>
      </c>
      <c r="F110" s="124">
        <f t="shared" si="21"/>
        <v>3.1600000000000003E-2</v>
      </c>
      <c r="G110" s="60">
        <f t="shared" si="13"/>
        <v>1.4911193721602642</v>
      </c>
      <c r="H110" s="58">
        <v>0.15</v>
      </c>
      <c r="I110" s="1">
        <f>VLOOKUP(B110,'fixed cost'!$B$4:$R$116,17,0)</f>
        <v>5.8719E-2</v>
      </c>
      <c r="J110" s="58"/>
      <c r="K110" s="58"/>
      <c r="L110" s="58"/>
      <c r="M110" s="125"/>
      <c r="N110" s="58">
        <v>0.5</v>
      </c>
      <c r="O110" s="60">
        <f t="shared" si="14"/>
        <v>2.1998383721602641</v>
      </c>
      <c r="Q110" s="182">
        <v>1.7470000000000001</v>
      </c>
      <c r="R110" s="188">
        <f t="shared" si="15"/>
        <v>-0.26300000000000012</v>
      </c>
      <c r="S110" s="189">
        <f t="shared" si="16"/>
        <v>-0.15054378935317694</v>
      </c>
    </row>
    <row r="111" spans="1:19" s="182" customFormat="1" ht="15.75" customHeight="1" x14ac:dyDescent="0.25">
      <c r="A111" s="146">
        <f t="shared" si="22"/>
        <v>94</v>
      </c>
      <c r="B111" s="147" t="s">
        <v>33</v>
      </c>
      <c r="C111" s="148">
        <f t="shared" si="25"/>
        <v>1.484</v>
      </c>
      <c r="D111" s="149">
        <f t="shared" si="25"/>
        <v>-0.04</v>
      </c>
      <c r="E111" s="148">
        <f t="shared" si="9"/>
        <v>1.444</v>
      </c>
      <c r="F111" s="150">
        <f t="shared" si="21"/>
        <v>3.1600000000000003E-2</v>
      </c>
      <c r="G111" s="148">
        <f t="shared" si="13"/>
        <v>1.4911193721602642</v>
      </c>
      <c r="H111" s="146">
        <v>0.15</v>
      </c>
      <c r="I111" s="1">
        <f>VLOOKUP(B111,'fixed cost'!$B$4:$R$116,17,0)</f>
        <v>5.8719E-2</v>
      </c>
      <c r="J111" s="146"/>
      <c r="K111" s="146"/>
      <c r="L111" s="146"/>
      <c r="M111" s="146"/>
      <c r="N111" s="146">
        <v>0.65</v>
      </c>
      <c r="O111" s="148">
        <f t="shared" si="14"/>
        <v>2.349838372160264</v>
      </c>
      <c r="Q111" s="182">
        <v>1.7470000000000001</v>
      </c>
      <c r="R111" s="188">
        <f t="shared" si="15"/>
        <v>-0.26300000000000012</v>
      </c>
      <c r="S111" s="189">
        <f t="shared" si="16"/>
        <v>-0.15054378935317694</v>
      </c>
    </row>
    <row r="112" spans="1:19" ht="15.75" customHeight="1" x14ac:dyDescent="0.25">
      <c r="A112" s="2">
        <f>A110+1</f>
        <v>94</v>
      </c>
      <c r="B112" s="4" t="s">
        <v>95</v>
      </c>
      <c r="C112" s="1">
        <v>1.528</v>
      </c>
      <c r="D112" s="1">
        <v>-4.1000000000000002E-2</v>
      </c>
      <c r="E112" s="1">
        <f t="shared" si="9"/>
        <v>1.4870000000000001</v>
      </c>
      <c r="F112" s="7">
        <f t="shared" si="21"/>
        <v>3.1600000000000003E-2</v>
      </c>
      <c r="G112" s="1">
        <f t="shared" si="13"/>
        <v>1.5355225113589426</v>
      </c>
      <c r="H112" s="5">
        <v>0.15</v>
      </c>
      <c r="I112" s="1">
        <f>VLOOKUP(B112,'fixed cost'!$B$4:$R$116,17,0)</f>
        <v>7.0973400000000006E-2</v>
      </c>
      <c r="J112" s="2"/>
      <c r="K112" s="2"/>
      <c r="L112" s="2"/>
      <c r="M112" s="2"/>
      <c r="N112" s="2"/>
      <c r="O112" s="1">
        <f t="shared" si="14"/>
        <v>1.7564959113589425</v>
      </c>
      <c r="Q112" s="3">
        <v>1.798</v>
      </c>
      <c r="R112" s="188">
        <f t="shared" si="15"/>
        <v>-0.27</v>
      </c>
      <c r="S112" s="189">
        <f t="shared" si="16"/>
        <v>-0.15016685205784205</v>
      </c>
    </row>
    <row r="113" spans="1:19" s="27" customFormat="1" ht="15.75" customHeight="1" x14ac:dyDescent="0.25">
      <c r="A113" s="2">
        <f t="shared" si="22"/>
        <v>95</v>
      </c>
      <c r="B113" s="46" t="s">
        <v>95</v>
      </c>
      <c r="C113" s="67">
        <f t="shared" ref="C113:D115" si="26">C112</f>
        <v>1.528</v>
      </c>
      <c r="D113" s="68">
        <f t="shared" si="26"/>
        <v>-4.1000000000000002E-2</v>
      </c>
      <c r="E113" s="67">
        <f t="shared" ref="E113:E176" si="27">C113+D113</f>
        <v>1.4870000000000001</v>
      </c>
      <c r="F113" s="184">
        <f t="shared" si="21"/>
        <v>3.1600000000000003E-2</v>
      </c>
      <c r="G113" s="67">
        <f t="shared" si="13"/>
        <v>1.5355225113589426</v>
      </c>
      <c r="H113" s="66">
        <v>0.15</v>
      </c>
      <c r="I113" s="67">
        <f>VLOOKUP(B113,'fixed cost'!$B$4:$R$116,17,0)</f>
        <v>7.0973400000000006E-2</v>
      </c>
      <c r="J113" s="66"/>
      <c r="K113" s="66"/>
      <c r="L113" s="66"/>
      <c r="M113" s="67">
        <f>VLOOKUP(B113,'fixed cost'!$B$4:$H$104,7,0)</f>
        <v>1.7249287472344317</v>
      </c>
      <c r="N113" s="67"/>
      <c r="O113" s="67">
        <f t="shared" si="14"/>
        <v>3.4814246585933741</v>
      </c>
      <c r="Q113" s="27">
        <v>1.798</v>
      </c>
      <c r="R113" s="188">
        <f t="shared" si="15"/>
        <v>-0.27</v>
      </c>
      <c r="S113" s="189">
        <f t="shared" si="16"/>
        <v>-0.15016685205784205</v>
      </c>
    </row>
    <row r="114" spans="1:19" s="182" customFormat="1" ht="15.75" customHeight="1" x14ac:dyDescent="0.25">
      <c r="A114" s="58">
        <f t="shared" si="22"/>
        <v>96</v>
      </c>
      <c r="B114" s="59" t="str">
        <f>B113</f>
        <v>VSTPS-V</v>
      </c>
      <c r="C114" s="60">
        <f t="shared" si="26"/>
        <v>1.528</v>
      </c>
      <c r="D114" s="60">
        <f t="shared" si="26"/>
        <v>-4.1000000000000002E-2</v>
      </c>
      <c r="E114" s="60">
        <f t="shared" si="27"/>
        <v>1.4870000000000001</v>
      </c>
      <c r="F114" s="124">
        <f t="shared" si="21"/>
        <v>3.1600000000000003E-2</v>
      </c>
      <c r="G114" s="60">
        <f t="shared" si="13"/>
        <v>1.5355225113589426</v>
      </c>
      <c r="H114" s="58">
        <f>H113</f>
        <v>0.15</v>
      </c>
      <c r="I114" s="1">
        <f>VLOOKUP(B114,'fixed cost'!$B$4:$R$116,17,0)</f>
        <v>7.0973400000000006E-2</v>
      </c>
      <c r="J114" s="58"/>
      <c r="K114" s="58"/>
      <c r="L114" s="58"/>
      <c r="M114" s="125"/>
      <c r="N114" s="58">
        <v>0.5</v>
      </c>
      <c r="O114" s="60">
        <f t="shared" si="14"/>
        <v>2.2564959113589422</v>
      </c>
      <c r="Q114" s="182">
        <v>1.798</v>
      </c>
      <c r="R114" s="188">
        <f t="shared" si="15"/>
        <v>-0.27</v>
      </c>
      <c r="S114" s="189">
        <f t="shared" si="16"/>
        <v>-0.15016685205784205</v>
      </c>
    </row>
    <row r="115" spans="1:19" s="182" customFormat="1" ht="15.75" customHeight="1" x14ac:dyDescent="0.25">
      <c r="A115" s="146">
        <f t="shared" si="22"/>
        <v>97</v>
      </c>
      <c r="B115" s="147" t="str">
        <f>B114</f>
        <v>VSTPS-V</v>
      </c>
      <c r="C115" s="148">
        <f t="shared" si="26"/>
        <v>1.528</v>
      </c>
      <c r="D115" s="149">
        <f t="shared" si="26"/>
        <v>-4.1000000000000002E-2</v>
      </c>
      <c r="E115" s="148">
        <f t="shared" si="27"/>
        <v>1.4870000000000001</v>
      </c>
      <c r="F115" s="150">
        <f t="shared" si="21"/>
        <v>3.1600000000000003E-2</v>
      </c>
      <c r="G115" s="148">
        <f t="shared" si="13"/>
        <v>1.5355225113589426</v>
      </c>
      <c r="H115" s="146">
        <f>H114</f>
        <v>0.15</v>
      </c>
      <c r="I115" s="1">
        <f>VLOOKUP(B115,'fixed cost'!$B$4:$R$116,17,0)</f>
        <v>7.0973400000000006E-2</v>
      </c>
      <c r="J115" s="146"/>
      <c r="K115" s="146"/>
      <c r="L115" s="146"/>
      <c r="M115" s="146"/>
      <c r="N115" s="146">
        <v>0.65</v>
      </c>
      <c r="O115" s="148">
        <f t="shared" si="14"/>
        <v>2.4064959113589426</v>
      </c>
      <c r="Q115" s="182">
        <v>1.798</v>
      </c>
      <c r="R115" s="188">
        <f t="shared" si="15"/>
        <v>-0.27</v>
      </c>
      <c r="S115" s="189">
        <f t="shared" si="16"/>
        <v>-0.15016685205784205</v>
      </c>
    </row>
    <row r="116" spans="1:19" ht="15.75" customHeight="1" x14ac:dyDescent="0.25">
      <c r="A116" s="127">
        <f>A114+1</f>
        <v>97</v>
      </c>
      <c r="B116" s="4" t="s">
        <v>160</v>
      </c>
      <c r="C116" s="15">
        <v>2.0049999999999999</v>
      </c>
      <c r="D116" s="15">
        <v>5.6599999999999999E-4</v>
      </c>
      <c r="E116" s="1">
        <f t="shared" si="27"/>
        <v>2.005566</v>
      </c>
      <c r="F116" s="7">
        <f t="shared" si="21"/>
        <v>3.1600000000000003E-2</v>
      </c>
      <c r="G116" s="1">
        <f t="shared" si="13"/>
        <v>2.0710099132589836</v>
      </c>
      <c r="H116" s="2"/>
      <c r="I116" s="1">
        <f>VLOOKUP(B116,'fixed cost'!$B$4:$R$116,17,0)</f>
        <v>0</v>
      </c>
      <c r="J116" s="2"/>
      <c r="K116" s="2"/>
      <c r="L116" s="2"/>
      <c r="M116" s="2"/>
      <c r="N116" s="2"/>
      <c r="O116" s="1">
        <f t="shared" si="14"/>
        <v>2.0710099132589836</v>
      </c>
      <c r="Q116" s="3">
        <v>2.0049999999999999</v>
      </c>
      <c r="R116" s="188">
        <f t="shared" si="15"/>
        <v>0</v>
      </c>
      <c r="S116" s="189">
        <f t="shared" si="16"/>
        <v>0</v>
      </c>
    </row>
    <row r="117" spans="1:19" s="27" customFormat="1" ht="15.75" customHeight="1" x14ac:dyDescent="0.25">
      <c r="A117" s="127">
        <f t="shared" si="22"/>
        <v>98</v>
      </c>
      <c r="B117" s="46" t="s">
        <v>160</v>
      </c>
      <c r="C117" s="122">
        <f>C116</f>
        <v>2.0049999999999999</v>
      </c>
      <c r="D117" s="122"/>
      <c r="E117" s="67">
        <f t="shared" si="27"/>
        <v>2.0049999999999999</v>
      </c>
      <c r="F117" s="184">
        <f t="shared" si="21"/>
        <v>3.1600000000000003E-2</v>
      </c>
      <c r="G117" s="67">
        <f t="shared" si="13"/>
        <v>2.0704254440313918</v>
      </c>
      <c r="H117" s="66"/>
      <c r="I117" s="67">
        <f>VLOOKUP(B117,'fixed cost'!$B$4:$R$116,17,0)</f>
        <v>0</v>
      </c>
      <c r="J117" s="66"/>
      <c r="K117" s="66"/>
      <c r="L117" s="66"/>
      <c r="M117" s="67">
        <f>VLOOKUP(B117,'fixed cost'!$B$4:$H$104,7,0)</f>
        <v>0.70899999999999996</v>
      </c>
      <c r="N117" s="66"/>
      <c r="O117" s="67">
        <f t="shared" si="14"/>
        <v>2.7794254440313919</v>
      </c>
      <c r="Q117" s="27">
        <v>2.0049999999999999</v>
      </c>
      <c r="R117" s="188">
        <f t="shared" si="15"/>
        <v>0</v>
      </c>
      <c r="S117" s="189">
        <f t="shared" si="16"/>
        <v>0</v>
      </c>
    </row>
    <row r="118" spans="1:19" s="119" customFormat="1" ht="15.75" customHeight="1" x14ac:dyDescent="0.25">
      <c r="A118" s="127">
        <f>A115+1</f>
        <v>98</v>
      </c>
      <c r="B118" s="93" t="s">
        <v>242</v>
      </c>
      <c r="C118" s="121">
        <v>24.158000000000001</v>
      </c>
      <c r="D118" s="121"/>
      <c r="E118" s="94">
        <f t="shared" si="27"/>
        <v>24.158000000000001</v>
      </c>
      <c r="F118" s="173">
        <f>F115</f>
        <v>3.1600000000000003E-2</v>
      </c>
      <c r="G118" s="94">
        <f t="shared" si="13"/>
        <v>24.946303180503925</v>
      </c>
      <c r="H118" s="92"/>
      <c r="I118" s="94">
        <f>VLOOKUP(B118,'fixed cost'!$B$4:$R$116,17,0)</f>
        <v>0</v>
      </c>
      <c r="J118" s="92"/>
      <c r="K118" s="92"/>
      <c r="L118" s="92"/>
      <c r="M118" s="92"/>
      <c r="N118" s="92"/>
      <c r="O118" s="94">
        <f t="shared" si="14"/>
        <v>24.946303180503925</v>
      </c>
      <c r="Q118" s="119">
        <v>18.713000000000001</v>
      </c>
      <c r="R118" s="188">
        <f t="shared" si="15"/>
        <v>5.4450000000000003</v>
      </c>
      <c r="S118" s="189">
        <f t="shared" si="16"/>
        <v>0.29097418906642442</v>
      </c>
    </row>
    <row r="119" spans="1:19" s="27" customFormat="1" ht="15.75" customHeight="1" x14ac:dyDescent="0.25">
      <c r="A119" s="127">
        <f t="shared" si="22"/>
        <v>99</v>
      </c>
      <c r="B119" s="46" t="s">
        <v>242</v>
      </c>
      <c r="C119" s="122">
        <f>C118</f>
        <v>24.158000000000001</v>
      </c>
      <c r="D119" s="122"/>
      <c r="E119" s="67">
        <f t="shared" si="27"/>
        <v>24.158000000000001</v>
      </c>
      <c r="F119" s="184">
        <f t="shared" si="21"/>
        <v>3.1600000000000003E-2</v>
      </c>
      <c r="G119" s="67">
        <f t="shared" si="13"/>
        <v>24.946303180503925</v>
      </c>
      <c r="H119" s="66"/>
      <c r="I119" s="67">
        <f>VLOOKUP(B119,'fixed cost'!$B$4:$R$116,17,0)</f>
        <v>0</v>
      </c>
      <c r="J119" s="66"/>
      <c r="K119" s="66"/>
      <c r="L119" s="66"/>
      <c r="M119" s="67">
        <f>VLOOKUP(B119,'fixed cost'!$B$4:$H$104,7,0)</f>
        <v>0.70899999999999996</v>
      </c>
      <c r="N119" s="66"/>
      <c r="O119" s="67">
        <f t="shared" si="14"/>
        <v>25.655303180503925</v>
      </c>
      <c r="Q119" s="27">
        <v>18.713000000000001</v>
      </c>
      <c r="R119" s="188">
        <f t="shared" si="15"/>
        <v>5.4450000000000003</v>
      </c>
      <c r="S119" s="189">
        <f t="shared" si="16"/>
        <v>0.29097418906642442</v>
      </c>
    </row>
    <row r="120" spans="1:19" s="119" customFormat="1" ht="15.75" customHeight="1" x14ac:dyDescent="0.25">
      <c r="A120" s="127">
        <f>A117+1</f>
        <v>99</v>
      </c>
      <c r="B120" s="93" t="s">
        <v>161</v>
      </c>
      <c r="C120" s="121">
        <v>14.622999999999999</v>
      </c>
      <c r="D120" s="121">
        <v>-7.8E-2</v>
      </c>
      <c r="E120" s="94">
        <f t="shared" si="27"/>
        <v>14.545</v>
      </c>
      <c r="F120" s="173">
        <f>F117</f>
        <v>3.1600000000000003E-2</v>
      </c>
      <c r="G120" s="94">
        <f t="shared" si="13"/>
        <v>15.019619991738951</v>
      </c>
      <c r="H120" s="92"/>
      <c r="I120" s="94">
        <f>VLOOKUP(B120,'fixed cost'!$B$4:$R$116,17,0)</f>
        <v>0</v>
      </c>
      <c r="J120" s="92"/>
      <c r="K120" s="92"/>
      <c r="L120" s="92"/>
      <c r="M120" s="92"/>
      <c r="N120" s="92"/>
      <c r="O120" s="94">
        <f t="shared" si="14"/>
        <v>15.019619991738951</v>
      </c>
      <c r="Q120" s="119">
        <v>14.153</v>
      </c>
      <c r="R120" s="188">
        <f t="shared" si="15"/>
        <v>0.46999999999999886</v>
      </c>
      <c r="S120" s="189">
        <f t="shared" si="16"/>
        <v>3.3208507030311515E-2</v>
      </c>
    </row>
    <row r="121" spans="1:19" s="27" customFormat="1" ht="15.75" customHeight="1" x14ac:dyDescent="0.25">
      <c r="A121" s="127">
        <f t="shared" si="22"/>
        <v>100</v>
      </c>
      <c r="B121" s="46" t="s">
        <v>161</v>
      </c>
      <c r="C121" s="122">
        <f>C120</f>
        <v>14.622999999999999</v>
      </c>
      <c r="D121" s="122"/>
      <c r="E121" s="67">
        <f t="shared" si="27"/>
        <v>14.622999999999999</v>
      </c>
      <c r="F121" s="184">
        <f t="shared" si="21"/>
        <v>3.1600000000000003E-2</v>
      </c>
      <c r="G121" s="67">
        <f t="shared" si="13"/>
        <v>15.100165220983063</v>
      </c>
      <c r="H121" s="66"/>
      <c r="I121" s="67">
        <f>VLOOKUP(B121,'fixed cost'!$B$4:$R$116,17,0)</f>
        <v>0</v>
      </c>
      <c r="J121" s="66"/>
      <c r="K121" s="66"/>
      <c r="L121" s="66"/>
      <c r="M121" s="67">
        <f>VLOOKUP(B121,'fixed cost'!$B$4:$H$104,7,0)</f>
        <v>0.70899999999999996</v>
      </c>
      <c r="N121" s="66"/>
      <c r="O121" s="67">
        <f t="shared" si="14"/>
        <v>15.809165220983063</v>
      </c>
      <c r="Q121" s="27">
        <v>14.153</v>
      </c>
      <c r="R121" s="188">
        <f t="shared" si="15"/>
        <v>0.46999999999999886</v>
      </c>
      <c r="S121" s="189">
        <f t="shared" si="16"/>
        <v>3.3208507030311515E-2</v>
      </c>
    </row>
    <row r="122" spans="1:19" s="119" customFormat="1" ht="15.75" customHeight="1" x14ac:dyDescent="0.25">
      <c r="A122" s="127">
        <f t="shared" si="22"/>
        <v>101</v>
      </c>
      <c r="B122" s="93" t="s">
        <v>162</v>
      </c>
      <c r="C122" s="121">
        <v>21.3</v>
      </c>
      <c r="D122" s="121"/>
      <c r="E122" s="94">
        <f t="shared" si="27"/>
        <v>21.3</v>
      </c>
      <c r="F122" s="173">
        <f t="shared" si="21"/>
        <v>3.1600000000000003E-2</v>
      </c>
      <c r="G122" s="94">
        <f t="shared" si="13"/>
        <v>21.995043370508053</v>
      </c>
      <c r="H122" s="92"/>
      <c r="I122" s="94">
        <f>VLOOKUP(B122,'fixed cost'!$B$4:$R$116,17,0)</f>
        <v>0</v>
      </c>
      <c r="J122" s="92"/>
      <c r="K122" s="92"/>
      <c r="L122" s="92"/>
      <c r="M122" s="92"/>
      <c r="N122" s="92"/>
      <c r="O122" s="94">
        <f t="shared" si="14"/>
        <v>21.995043370508053</v>
      </c>
      <c r="Q122" s="119">
        <v>21.62</v>
      </c>
      <c r="R122" s="188">
        <f t="shared" si="15"/>
        <v>-0.32000000000000028</v>
      </c>
      <c r="S122" s="189">
        <f t="shared" si="16"/>
        <v>-1.4801110083256257E-2</v>
      </c>
    </row>
    <row r="123" spans="1:19" s="27" customFormat="1" ht="15.75" customHeight="1" x14ac:dyDescent="0.25">
      <c r="A123" s="127">
        <f t="shared" si="22"/>
        <v>102</v>
      </c>
      <c r="B123" s="46" t="s">
        <v>162</v>
      </c>
      <c r="C123" s="122">
        <f>C122</f>
        <v>21.3</v>
      </c>
      <c r="D123" s="122"/>
      <c r="E123" s="67">
        <f t="shared" si="27"/>
        <v>21.3</v>
      </c>
      <c r="F123" s="184">
        <f t="shared" si="21"/>
        <v>3.1600000000000003E-2</v>
      </c>
      <c r="G123" s="67">
        <f t="shared" si="13"/>
        <v>21.995043370508053</v>
      </c>
      <c r="H123" s="66"/>
      <c r="I123" s="67">
        <f>VLOOKUP(B123,'fixed cost'!$B$4:$R$116,17,0)</f>
        <v>0</v>
      </c>
      <c r="J123" s="66"/>
      <c r="K123" s="66"/>
      <c r="L123" s="66"/>
      <c r="M123" s="67">
        <f>VLOOKUP(B123,'fixed cost'!$B$4:$H$104,7,0)</f>
        <v>0.70899999999999996</v>
      </c>
      <c r="N123" s="66"/>
      <c r="O123" s="67">
        <f t="shared" si="14"/>
        <v>22.704043370508053</v>
      </c>
      <c r="Q123" s="27">
        <v>21.62</v>
      </c>
      <c r="R123" s="188">
        <f t="shared" si="15"/>
        <v>-0.32000000000000028</v>
      </c>
      <c r="S123" s="189">
        <f t="shared" si="16"/>
        <v>-1.4801110083256257E-2</v>
      </c>
    </row>
    <row r="124" spans="1:19" ht="15.75" customHeight="1" x14ac:dyDescent="0.25">
      <c r="A124" s="127">
        <f t="shared" si="22"/>
        <v>103</v>
      </c>
      <c r="B124" s="4" t="s">
        <v>154</v>
      </c>
      <c r="C124" s="15">
        <v>2.085</v>
      </c>
      <c r="D124" s="15"/>
      <c r="E124" s="1">
        <f t="shared" si="27"/>
        <v>2.085</v>
      </c>
      <c r="F124" s="7">
        <f t="shared" si="21"/>
        <v>3.1600000000000003E-2</v>
      </c>
      <c r="G124" s="1">
        <f t="shared" si="13"/>
        <v>2.1530359355638167</v>
      </c>
      <c r="H124" s="2"/>
      <c r="I124" s="1">
        <f>VLOOKUP(B124,'fixed cost'!$B$4:$R$116,17,0)</f>
        <v>0</v>
      </c>
      <c r="J124" s="2"/>
      <c r="K124" s="2"/>
      <c r="L124" s="2"/>
      <c r="M124" s="2"/>
      <c r="N124" s="2"/>
      <c r="O124" s="1">
        <f t="shared" si="14"/>
        <v>2.1530359355638167</v>
      </c>
      <c r="Q124" s="3">
        <v>2.085</v>
      </c>
      <c r="R124" s="188">
        <f t="shared" si="15"/>
        <v>0</v>
      </c>
      <c r="S124" s="189">
        <f t="shared" si="16"/>
        <v>0</v>
      </c>
    </row>
    <row r="125" spans="1:19" s="27" customFormat="1" ht="15.75" customHeight="1" x14ac:dyDescent="0.25">
      <c r="A125" s="127">
        <f t="shared" si="22"/>
        <v>104</v>
      </c>
      <c r="B125" s="46" t="s">
        <v>154</v>
      </c>
      <c r="C125" s="122">
        <f>C124</f>
        <v>2.085</v>
      </c>
      <c r="D125" s="122"/>
      <c r="E125" s="67">
        <f t="shared" si="27"/>
        <v>2.085</v>
      </c>
      <c r="F125" s="184">
        <f t="shared" si="21"/>
        <v>3.1600000000000003E-2</v>
      </c>
      <c r="G125" s="67">
        <f t="shared" si="13"/>
        <v>2.1530359355638167</v>
      </c>
      <c r="H125" s="66"/>
      <c r="I125" s="67">
        <f>VLOOKUP(B125,'fixed cost'!$B$4:$R$116,17,0)</f>
        <v>0</v>
      </c>
      <c r="J125" s="66"/>
      <c r="K125" s="66"/>
      <c r="L125" s="66"/>
      <c r="M125" s="67">
        <f>VLOOKUP(B125,'fixed cost'!$B$4:$H$104,7,0)</f>
        <v>0.63500000000000001</v>
      </c>
      <c r="N125" s="66"/>
      <c r="O125" s="67">
        <f t="shared" si="14"/>
        <v>2.7880359355638165</v>
      </c>
      <c r="Q125" s="27">
        <v>2.085</v>
      </c>
      <c r="R125" s="188">
        <f t="shared" si="15"/>
        <v>0</v>
      </c>
      <c r="S125" s="189">
        <f t="shared" si="16"/>
        <v>0</v>
      </c>
    </row>
    <row r="126" spans="1:19" s="119" customFormat="1" ht="15.75" customHeight="1" x14ac:dyDescent="0.25">
      <c r="A126" s="127">
        <f t="shared" si="22"/>
        <v>105</v>
      </c>
      <c r="B126" s="93" t="s">
        <v>155</v>
      </c>
      <c r="C126" s="121">
        <v>20.495999999999999</v>
      </c>
      <c r="D126" s="121"/>
      <c r="E126" s="94">
        <f t="shared" si="27"/>
        <v>20.495999999999999</v>
      </c>
      <c r="F126" s="173">
        <f t="shared" si="21"/>
        <v>3.1600000000000003E-2</v>
      </c>
      <c r="G126" s="94">
        <f t="shared" si="13"/>
        <v>21.164807930607186</v>
      </c>
      <c r="H126" s="92"/>
      <c r="I126" s="94">
        <f>VLOOKUP(B126,'fixed cost'!$B$4:$R$116,17,0)</f>
        <v>0</v>
      </c>
      <c r="J126" s="92"/>
      <c r="K126" s="92"/>
      <c r="L126" s="92"/>
      <c r="M126" s="92"/>
      <c r="N126" s="92"/>
      <c r="O126" s="94">
        <f t="shared" si="14"/>
        <v>21.164807930607186</v>
      </c>
      <c r="Q126" s="119">
        <v>25.076000000000001</v>
      </c>
      <c r="R126" s="188">
        <f t="shared" si="15"/>
        <v>-4.5800000000000018</v>
      </c>
      <c r="S126" s="189">
        <f t="shared" si="16"/>
        <v>-0.18264475992981344</v>
      </c>
    </row>
    <row r="127" spans="1:19" s="27" customFormat="1" ht="15.75" customHeight="1" x14ac:dyDescent="0.25">
      <c r="A127" s="127">
        <f t="shared" si="22"/>
        <v>106</v>
      </c>
      <c r="B127" s="46" t="s">
        <v>155</v>
      </c>
      <c r="C127" s="122">
        <f>C126</f>
        <v>20.495999999999999</v>
      </c>
      <c r="D127" s="122"/>
      <c r="E127" s="67">
        <f t="shared" si="27"/>
        <v>20.495999999999999</v>
      </c>
      <c r="F127" s="184">
        <f t="shared" si="21"/>
        <v>3.1600000000000003E-2</v>
      </c>
      <c r="G127" s="67">
        <f t="shared" si="13"/>
        <v>21.164807930607186</v>
      </c>
      <c r="H127" s="66"/>
      <c r="I127" s="67">
        <f>VLOOKUP(B127,'fixed cost'!$B$4:$R$116,17,0)</f>
        <v>0</v>
      </c>
      <c r="J127" s="66"/>
      <c r="K127" s="66"/>
      <c r="L127" s="66"/>
      <c r="M127" s="67">
        <f>VLOOKUP(B127,'fixed cost'!$B$4:$H$104,7,0)</f>
        <v>0.63500000000000001</v>
      </c>
      <c r="N127" s="66"/>
      <c r="O127" s="67">
        <f t="shared" si="14"/>
        <v>21.799807930607187</v>
      </c>
      <c r="Q127" s="27">
        <v>25.076000000000001</v>
      </c>
      <c r="R127" s="188">
        <f t="shared" si="15"/>
        <v>-4.5800000000000018</v>
      </c>
      <c r="S127" s="189">
        <f t="shared" si="16"/>
        <v>-0.18264475992981344</v>
      </c>
    </row>
    <row r="128" spans="1:19" s="119" customFormat="1" ht="15.75" customHeight="1" x14ac:dyDescent="0.25">
      <c r="A128" s="127">
        <f t="shared" si="22"/>
        <v>107</v>
      </c>
      <c r="B128" s="93" t="s">
        <v>156</v>
      </c>
      <c r="C128" s="121">
        <v>14.833</v>
      </c>
      <c r="D128" s="121"/>
      <c r="E128" s="94">
        <f t="shared" si="27"/>
        <v>14.833</v>
      </c>
      <c r="F128" s="173">
        <f t="shared" si="21"/>
        <v>3.1600000000000003E-2</v>
      </c>
      <c r="G128" s="94">
        <f t="shared" si="13"/>
        <v>15.317017761255679</v>
      </c>
      <c r="H128" s="92"/>
      <c r="I128" s="94">
        <f>VLOOKUP(B128,'fixed cost'!$B$4:$R$116,17,0)</f>
        <v>0</v>
      </c>
      <c r="J128" s="92"/>
      <c r="K128" s="92"/>
      <c r="L128" s="92"/>
      <c r="M128" s="92"/>
      <c r="N128" s="92"/>
      <c r="O128" s="94">
        <f t="shared" si="14"/>
        <v>15.317017761255679</v>
      </c>
      <c r="Q128" s="119">
        <v>14.397</v>
      </c>
      <c r="R128" s="188">
        <f t="shared" si="15"/>
        <v>0.43599999999999994</v>
      </c>
      <c r="S128" s="189">
        <f t="shared" si="16"/>
        <v>3.028408696256164E-2</v>
      </c>
    </row>
    <row r="129" spans="1:19" s="27" customFormat="1" ht="15.75" customHeight="1" x14ac:dyDescent="0.25">
      <c r="A129" s="127">
        <f t="shared" si="22"/>
        <v>108</v>
      </c>
      <c r="B129" s="46" t="s">
        <v>156</v>
      </c>
      <c r="C129" s="122">
        <f>C128</f>
        <v>14.833</v>
      </c>
      <c r="D129" s="122"/>
      <c r="E129" s="67">
        <f t="shared" si="27"/>
        <v>14.833</v>
      </c>
      <c r="F129" s="184">
        <f t="shared" si="21"/>
        <v>3.1600000000000003E-2</v>
      </c>
      <c r="G129" s="67">
        <f t="shared" si="13"/>
        <v>15.317017761255679</v>
      </c>
      <c r="H129" s="66"/>
      <c r="I129" s="67">
        <f>VLOOKUP(B129,'fixed cost'!$B$4:$R$116,17,0)</f>
        <v>0</v>
      </c>
      <c r="J129" s="66"/>
      <c r="K129" s="66"/>
      <c r="L129" s="66"/>
      <c r="M129" s="67">
        <f>VLOOKUP(B129,'fixed cost'!$B$4:$H$104,7,0)</f>
        <v>0.63500000000000001</v>
      </c>
      <c r="N129" s="66"/>
      <c r="O129" s="67">
        <f t="shared" si="14"/>
        <v>15.952017761255679</v>
      </c>
      <c r="Q129" s="27">
        <v>14.397</v>
      </c>
      <c r="R129" s="188">
        <f t="shared" si="15"/>
        <v>0.43599999999999994</v>
      </c>
      <c r="S129" s="189">
        <f t="shared" si="16"/>
        <v>3.028408696256164E-2</v>
      </c>
    </row>
    <row r="130" spans="1:19" s="119" customFormat="1" ht="15.75" customHeight="1" x14ac:dyDescent="0.25">
      <c r="A130" s="127">
        <f t="shared" si="22"/>
        <v>109</v>
      </c>
      <c r="B130" s="93" t="s">
        <v>178</v>
      </c>
      <c r="C130" s="121">
        <v>24.495000000000001</v>
      </c>
      <c r="D130" s="121"/>
      <c r="E130" s="94">
        <f t="shared" si="27"/>
        <v>24.495000000000001</v>
      </c>
      <c r="F130" s="173">
        <f t="shared" si="21"/>
        <v>3.1600000000000003E-2</v>
      </c>
      <c r="G130" s="94">
        <f t="shared" si="13"/>
        <v>25.294299876084263</v>
      </c>
      <c r="H130" s="92"/>
      <c r="I130" s="94">
        <f>VLOOKUP(B130,'fixed cost'!$B$4:$R$116,17,0)</f>
        <v>0</v>
      </c>
      <c r="J130" s="92"/>
      <c r="K130" s="92"/>
      <c r="L130" s="92"/>
      <c r="M130" s="92"/>
      <c r="N130" s="92"/>
      <c r="O130" s="94">
        <f t="shared" si="14"/>
        <v>25.294299876084263</v>
      </c>
      <c r="Q130" s="119">
        <v>18.978000000000002</v>
      </c>
      <c r="R130" s="188">
        <f t="shared" si="15"/>
        <v>5.5169999999999995</v>
      </c>
      <c r="S130" s="189">
        <f t="shared" si="16"/>
        <v>0.29070502687322158</v>
      </c>
    </row>
    <row r="131" spans="1:19" s="27" customFormat="1" ht="15.75" customHeight="1" x14ac:dyDescent="0.25">
      <c r="A131" s="127">
        <f t="shared" si="22"/>
        <v>110</v>
      </c>
      <c r="B131" s="46" t="s">
        <v>178</v>
      </c>
      <c r="C131" s="122">
        <f>C130</f>
        <v>24.495000000000001</v>
      </c>
      <c r="D131" s="122"/>
      <c r="E131" s="67">
        <f t="shared" si="27"/>
        <v>24.495000000000001</v>
      </c>
      <c r="F131" s="184">
        <f t="shared" si="21"/>
        <v>3.1600000000000003E-2</v>
      </c>
      <c r="G131" s="67">
        <f t="shared" si="13"/>
        <v>25.294299876084263</v>
      </c>
      <c r="H131" s="66"/>
      <c r="I131" s="67">
        <f>VLOOKUP(B131,'fixed cost'!$B$4:$R$116,17,0)</f>
        <v>0</v>
      </c>
      <c r="J131" s="66"/>
      <c r="K131" s="66"/>
      <c r="L131" s="66"/>
      <c r="M131" s="67">
        <f>VLOOKUP(B131,'fixed cost'!$B$4:$H$104,7,0)</f>
        <v>0.63500000000000001</v>
      </c>
      <c r="N131" s="66"/>
      <c r="O131" s="67">
        <f t="shared" si="14"/>
        <v>25.929299876084265</v>
      </c>
      <c r="Q131" s="27">
        <v>18.978000000000002</v>
      </c>
      <c r="R131" s="188">
        <f t="shared" si="15"/>
        <v>5.5169999999999995</v>
      </c>
      <c r="S131" s="189">
        <f t="shared" si="16"/>
        <v>0.29070502687322158</v>
      </c>
    </row>
    <row r="132" spans="1:19" s="119" customFormat="1" ht="15.75" customHeight="1" x14ac:dyDescent="0.25">
      <c r="A132" s="127">
        <f>A129+1</f>
        <v>109</v>
      </c>
      <c r="B132" s="97" t="s">
        <v>143</v>
      </c>
      <c r="C132" s="98">
        <v>1.0049999999999999</v>
      </c>
      <c r="D132" s="98"/>
      <c r="E132" s="98">
        <f t="shared" si="27"/>
        <v>1.0049999999999999</v>
      </c>
      <c r="F132" s="172">
        <f t="shared" si="21"/>
        <v>3.1600000000000003E-2</v>
      </c>
      <c r="G132" s="98">
        <f t="shared" si="13"/>
        <v>1.0377942998760841</v>
      </c>
      <c r="H132" s="96"/>
      <c r="I132" s="98">
        <f>VLOOKUP(B132,'fixed cost'!$B$4:$R$116,17,0)</f>
        <v>0</v>
      </c>
      <c r="J132" s="96"/>
      <c r="K132" s="96"/>
      <c r="L132" s="96"/>
      <c r="M132" s="96"/>
      <c r="N132" s="96"/>
      <c r="O132" s="98">
        <f t="shared" si="14"/>
        <v>1.0377942998760841</v>
      </c>
      <c r="Q132" s="119">
        <v>1.0049999999999999</v>
      </c>
      <c r="R132" s="188">
        <f t="shared" si="15"/>
        <v>0</v>
      </c>
      <c r="S132" s="189">
        <f t="shared" si="16"/>
        <v>0</v>
      </c>
    </row>
    <row r="133" spans="1:19" s="119" customFormat="1" ht="15.75" customHeight="1" x14ac:dyDescent="0.25">
      <c r="A133" s="127">
        <f t="shared" si="22"/>
        <v>110</v>
      </c>
      <c r="B133" s="97" t="s">
        <v>149</v>
      </c>
      <c r="C133" s="98">
        <v>1.97</v>
      </c>
      <c r="D133" s="98"/>
      <c r="E133" s="98">
        <f t="shared" si="27"/>
        <v>1.97</v>
      </c>
      <c r="F133" s="172">
        <f t="shared" si="21"/>
        <v>3.1600000000000003E-2</v>
      </c>
      <c r="G133" s="98">
        <f t="shared" si="13"/>
        <v>2.0342833539859559</v>
      </c>
      <c r="H133" s="96"/>
      <c r="I133" s="98">
        <f>VLOOKUP(B133,'fixed cost'!$B$4:$R$116,17,0)</f>
        <v>0</v>
      </c>
      <c r="J133" s="96"/>
      <c r="K133" s="96"/>
      <c r="L133" s="96"/>
      <c r="M133" s="96"/>
      <c r="N133" s="96"/>
      <c r="O133" s="98">
        <f t="shared" si="14"/>
        <v>2.0342833539859559</v>
      </c>
      <c r="Q133" s="119">
        <v>1.97</v>
      </c>
      <c r="R133" s="188">
        <f t="shared" si="15"/>
        <v>0</v>
      </c>
      <c r="S133" s="189">
        <f t="shared" si="16"/>
        <v>0</v>
      </c>
    </row>
    <row r="134" spans="1:19" ht="15.75" customHeight="1" x14ac:dyDescent="0.25">
      <c r="A134" s="127">
        <f t="shared" si="22"/>
        <v>111</v>
      </c>
      <c r="B134" s="4" t="s">
        <v>157</v>
      </c>
      <c r="C134" s="15">
        <v>2.0499999999999998</v>
      </c>
      <c r="D134" s="15">
        <v>3.2000000000000001E-2</v>
      </c>
      <c r="E134" s="1">
        <f t="shared" si="27"/>
        <v>2.0819999999999999</v>
      </c>
      <c r="F134" s="7">
        <f t="shared" si="21"/>
        <v>3.1600000000000003E-2</v>
      </c>
      <c r="G134" s="1">
        <f t="shared" si="13"/>
        <v>2.1499380421313505</v>
      </c>
      <c r="H134" s="2"/>
      <c r="I134" s="1">
        <f>VLOOKUP(B134,'fixed cost'!$B$4:$R$116,17,0)</f>
        <v>0</v>
      </c>
      <c r="J134" s="2"/>
      <c r="K134" s="2"/>
      <c r="L134" s="2"/>
      <c r="M134" s="2"/>
      <c r="N134" s="2"/>
      <c r="O134" s="1">
        <f t="shared" ref="O134:O183" si="28">SUM(G134:N134)</f>
        <v>2.1499380421313505</v>
      </c>
      <c r="Q134" s="3">
        <v>2.0499999999999998</v>
      </c>
      <c r="R134" s="188">
        <f t="shared" si="15"/>
        <v>0</v>
      </c>
      <c r="S134" s="189">
        <f t="shared" si="16"/>
        <v>0</v>
      </c>
    </row>
    <row r="135" spans="1:19" s="27" customFormat="1" ht="15.75" customHeight="1" x14ac:dyDescent="0.25">
      <c r="A135" s="127">
        <f t="shared" si="22"/>
        <v>112</v>
      </c>
      <c r="B135" s="46" t="s">
        <v>157</v>
      </c>
      <c r="C135" s="122">
        <f>C134</f>
        <v>2.0499999999999998</v>
      </c>
      <c r="D135" s="122">
        <f>D134</f>
        <v>3.2000000000000001E-2</v>
      </c>
      <c r="E135" s="67">
        <f t="shared" si="27"/>
        <v>2.0819999999999999</v>
      </c>
      <c r="F135" s="184">
        <f t="shared" si="21"/>
        <v>3.1600000000000003E-2</v>
      </c>
      <c r="G135" s="67">
        <f t="shared" si="13"/>
        <v>2.1499380421313505</v>
      </c>
      <c r="H135" s="66"/>
      <c r="I135" s="67">
        <f>VLOOKUP(B135,'fixed cost'!$B$4:$R$116,17,0)</f>
        <v>0</v>
      </c>
      <c r="J135" s="66"/>
      <c r="K135" s="66"/>
      <c r="L135" s="66"/>
      <c r="M135" s="67">
        <f>VLOOKUP(B135,'fixed cost'!$B$4:$H$104,7,0)</f>
        <v>0.52960707387180206</v>
      </c>
      <c r="N135" s="66"/>
      <c r="O135" s="67">
        <f t="shared" si="28"/>
        <v>2.6795451160031525</v>
      </c>
      <c r="Q135" s="27">
        <v>2.0499999999999998</v>
      </c>
      <c r="R135" s="188">
        <f t="shared" ref="R135:R183" si="29">C135-Q135</f>
        <v>0</v>
      </c>
      <c r="S135" s="189">
        <f t="shared" ref="S135:S183" si="30">R135/Q135</f>
        <v>0</v>
      </c>
    </row>
    <row r="136" spans="1:19" s="119" customFormat="1" ht="15.75" customHeight="1" x14ac:dyDescent="0.25">
      <c r="A136" s="127">
        <f t="shared" si="22"/>
        <v>113</v>
      </c>
      <c r="B136" s="93" t="s">
        <v>158</v>
      </c>
      <c r="C136" s="94">
        <v>27.341000000000001</v>
      </c>
      <c r="D136" s="94"/>
      <c r="E136" s="94">
        <f t="shared" si="27"/>
        <v>27.341000000000001</v>
      </c>
      <c r="F136" s="173">
        <f t="shared" si="21"/>
        <v>3.1600000000000003E-2</v>
      </c>
      <c r="G136" s="94">
        <f t="shared" si="13"/>
        <v>28.233168112350267</v>
      </c>
      <c r="H136" s="92"/>
      <c r="I136" s="94">
        <f>VLOOKUP(B136,'fixed cost'!$B$4:$R$116,17,0)</f>
        <v>0</v>
      </c>
      <c r="J136" s="92"/>
      <c r="K136" s="92"/>
      <c r="L136" s="92"/>
      <c r="M136" s="92"/>
      <c r="N136" s="92"/>
      <c r="O136" s="94">
        <f t="shared" si="28"/>
        <v>28.233168112350267</v>
      </c>
      <c r="Q136" s="119">
        <v>26.103000000000002</v>
      </c>
      <c r="R136" s="188">
        <f t="shared" si="29"/>
        <v>1.2379999999999995</v>
      </c>
      <c r="S136" s="189">
        <f t="shared" si="30"/>
        <v>4.7427498754932365E-2</v>
      </c>
    </row>
    <row r="137" spans="1:19" s="27" customFormat="1" ht="15.75" customHeight="1" x14ac:dyDescent="0.25">
      <c r="A137" s="127">
        <f t="shared" si="22"/>
        <v>114</v>
      </c>
      <c r="B137" s="46" t="s">
        <v>158</v>
      </c>
      <c r="C137" s="67">
        <f>C136</f>
        <v>27.341000000000001</v>
      </c>
      <c r="D137" s="67">
        <f>D136</f>
        <v>0</v>
      </c>
      <c r="E137" s="67">
        <f t="shared" si="27"/>
        <v>27.341000000000001</v>
      </c>
      <c r="F137" s="184">
        <f t="shared" si="21"/>
        <v>3.1600000000000003E-2</v>
      </c>
      <c r="G137" s="67">
        <f t="shared" ref="G137:G183" si="31">E137/((100%-F137))</f>
        <v>28.233168112350267</v>
      </c>
      <c r="H137" s="66"/>
      <c r="I137" s="67">
        <f>VLOOKUP(B137,'fixed cost'!$B$4:$R$116,17,0)</f>
        <v>0</v>
      </c>
      <c r="J137" s="66"/>
      <c r="K137" s="66"/>
      <c r="L137" s="66"/>
      <c r="M137" s="67">
        <f>VLOOKUP(B137,'fixed cost'!$B$4:$H$104,7,0)</f>
        <v>0.52960707387180206</v>
      </c>
      <c r="N137" s="66"/>
      <c r="O137" s="67">
        <f t="shared" si="28"/>
        <v>28.762775186222068</v>
      </c>
      <c r="Q137" s="27">
        <v>26.103000000000002</v>
      </c>
      <c r="R137" s="188">
        <f t="shared" si="29"/>
        <v>1.2379999999999995</v>
      </c>
      <c r="S137" s="189">
        <f t="shared" si="30"/>
        <v>4.7427498754932365E-2</v>
      </c>
    </row>
    <row r="138" spans="1:19" s="119" customFormat="1" ht="15.75" customHeight="1" x14ac:dyDescent="0.25">
      <c r="A138" s="127">
        <f t="shared" si="22"/>
        <v>115</v>
      </c>
      <c r="B138" s="93" t="s">
        <v>159</v>
      </c>
      <c r="C138" s="94">
        <v>14.182</v>
      </c>
      <c r="D138" s="94"/>
      <c r="E138" s="94">
        <f t="shared" si="27"/>
        <v>14.182</v>
      </c>
      <c r="F138" s="173">
        <f t="shared" si="21"/>
        <v>3.1600000000000003E-2</v>
      </c>
      <c r="G138" s="94">
        <f t="shared" si="31"/>
        <v>14.644774886410573</v>
      </c>
      <c r="H138" s="92"/>
      <c r="I138" s="94">
        <f>VLOOKUP(B138,'fixed cost'!$B$4:$R$116,17,0)</f>
        <v>0</v>
      </c>
      <c r="J138" s="92"/>
      <c r="K138" s="92"/>
      <c r="L138" s="92"/>
      <c r="M138" s="92"/>
      <c r="N138" s="92"/>
      <c r="O138" s="94">
        <f t="shared" si="28"/>
        <v>14.644774886410573</v>
      </c>
      <c r="Q138" s="119">
        <v>13.698</v>
      </c>
      <c r="R138" s="188">
        <f t="shared" si="29"/>
        <v>0.48399999999999999</v>
      </c>
      <c r="S138" s="189">
        <f t="shared" si="30"/>
        <v>3.533362534676595E-2</v>
      </c>
    </row>
    <row r="139" spans="1:19" s="27" customFormat="1" ht="15.75" customHeight="1" x14ac:dyDescent="0.25">
      <c r="A139" s="127">
        <f t="shared" si="22"/>
        <v>116</v>
      </c>
      <c r="B139" s="46" t="s">
        <v>159</v>
      </c>
      <c r="C139" s="67">
        <f>C138</f>
        <v>14.182</v>
      </c>
      <c r="D139" s="67">
        <f>D138</f>
        <v>0</v>
      </c>
      <c r="E139" s="67">
        <f t="shared" si="27"/>
        <v>14.182</v>
      </c>
      <c r="F139" s="184">
        <f t="shared" si="21"/>
        <v>3.1600000000000003E-2</v>
      </c>
      <c r="G139" s="67">
        <f t="shared" si="31"/>
        <v>14.644774886410573</v>
      </c>
      <c r="H139" s="66"/>
      <c r="I139" s="67">
        <f>VLOOKUP(B139,'fixed cost'!$B$4:$R$116,17,0)</f>
        <v>0</v>
      </c>
      <c r="J139" s="66"/>
      <c r="K139" s="66"/>
      <c r="L139" s="66"/>
      <c r="M139" s="67">
        <f>VLOOKUP(B139,'fixed cost'!$B$4:$H$104,7,0)</f>
        <v>0.52960707387180206</v>
      </c>
      <c r="N139" s="66"/>
      <c r="O139" s="67">
        <f t="shared" si="28"/>
        <v>15.174381960282375</v>
      </c>
      <c r="Q139" s="27">
        <v>13.698</v>
      </c>
      <c r="R139" s="188">
        <f t="shared" si="29"/>
        <v>0.48399999999999999</v>
      </c>
      <c r="S139" s="189">
        <f t="shared" si="30"/>
        <v>3.533362534676595E-2</v>
      </c>
    </row>
    <row r="140" spans="1:19" s="27" customFormat="1" ht="15.75" customHeight="1" x14ac:dyDescent="0.25">
      <c r="A140" s="127">
        <f t="shared" si="22"/>
        <v>117</v>
      </c>
      <c r="B140" s="93" t="s">
        <v>177</v>
      </c>
      <c r="C140" s="94">
        <v>22.963000000000001</v>
      </c>
      <c r="D140" s="94"/>
      <c r="E140" s="94">
        <f t="shared" si="27"/>
        <v>22.963000000000001</v>
      </c>
      <c r="F140" s="173">
        <f t="shared" si="21"/>
        <v>3.1600000000000003E-2</v>
      </c>
      <c r="G140" s="94">
        <f t="shared" si="31"/>
        <v>23.712308963238332</v>
      </c>
      <c r="H140" s="92"/>
      <c r="I140" s="94">
        <f>VLOOKUP(B140,'fixed cost'!$B$4:$R$116,17,0)</f>
        <v>0</v>
      </c>
      <c r="J140" s="92"/>
      <c r="K140" s="92"/>
      <c r="L140" s="92"/>
      <c r="M140" s="92"/>
      <c r="N140" s="92"/>
      <c r="O140" s="94">
        <f t="shared" si="28"/>
        <v>23.712308963238332</v>
      </c>
      <c r="Q140" s="27">
        <v>18.75</v>
      </c>
      <c r="R140" s="188">
        <f t="shared" si="29"/>
        <v>4.213000000000001</v>
      </c>
      <c r="S140" s="189">
        <f t="shared" si="30"/>
        <v>0.22469333333333338</v>
      </c>
    </row>
    <row r="141" spans="1:19" s="27" customFormat="1" ht="15.75" customHeight="1" x14ac:dyDescent="0.25">
      <c r="A141" s="127">
        <f t="shared" si="22"/>
        <v>118</v>
      </c>
      <c r="B141" s="46" t="s">
        <v>177</v>
      </c>
      <c r="C141" s="67">
        <f>C140</f>
        <v>22.963000000000001</v>
      </c>
      <c r="D141" s="67">
        <f>D140</f>
        <v>0</v>
      </c>
      <c r="E141" s="67">
        <f t="shared" si="27"/>
        <v>22.963000000000001</v>
      </c>
      <c r="F141" s="184">
        <f t="shared" si="21"/>
        <v>3.1600000000000003E-2</v>
      </c>
      <c r="G141" s="67">
        <f t="shared" si="31"/>
        <v>23.712308963238332</v>
      </c>
      <c r="H141" s="66"/>
      <c r="I141" s="67">
        <f>VLOOKUP(B141,'fixed cost'!$B$4:$R$116,17,0)</f>
        <v>0</v>
      </c>
      <c r="J141" s="66"/>
      <c r="K141" s="66"/>
      <c r="L141" s="66"/>
      <c r="M141" s="67">
        <f>VLOOKUP(B141,'fixed cost'!$B$4:$H$104,7,0)</f>
        <v>0.52960707387180206</v>
      </c>
      <c r="N141" s="66"/>
      <c r="O141" s="67">
        <f t="shared" si="28"/>
        <v>24.241916037110133</v>
      </c>
      <c r="Q141" s="27">
        <v>18.75</v>
      </c>
      <c r="R141" s="188">
        <f t="shared" si="29"/>
        <v>4.213000000000001</v>
      </c>
      <c r="S141" s="189">
        <f t="shared" si="30"/>
        <v>0.22469333333333338</v>
      </c>
    </row>
    <row r="142" spans="1:19" s="119" customFormat="1" ht="15.75" customHeight="1" x14ac:dyDescent="0.25">
      <c r="A142" s="127">
        <f>A141+1</f>
        <v>119</v>
      </c>
      <c r="B142" s="97" t="s">
        <v>142</v>
      </c>
      <c r="C142" s="98">
        <v>1.2150000000000001</v>
      </c>
      <c r="D142" s="98"/>
      <c r="E142" s="98">
        <f t="shared" si="27"/>
        <v>1.2150000000000001</v>
      </c>
      <c r="F142" s="172">
        <f t="shared" si="21"/>
        <v>3.1600000000000003E-2</v>
      </c>
      <c r="G142" s="98">
        <f t="shared" si="31"/>
        <v>1.254646840148699</v>
      </c>
      <c r="H142" s="96"/>
      <c r="I142" s="98">
        <f>VLOOKUP(B142,'fixed cost'!$B$4:$R$116,17,0)</f>
        <v>0</v>
      </c>
      <c r="J142" s="96"/>
      <c r="K142" s="96"/>
      <c r="L142" s="96"/>
      <c r="M142" s="96"/>
      <c r="N142" s="96"/>
      <c r="O142" s="98">
        <f t="shared" si="28"/>
        <v>1.254646840148699</v>
      </c>
      <c r="Q142" s="119">
        <v>1.2150000000000001</v>
      </c>
      <c r="R142" s="188">
        <f t="shared" si="29"/>
        <v>0</v>
      </c>
      <c r="S142" s="189">
        <f t="shared" si="30"/>
        <v>0</v>
      </c>
    </row>
    <row r="143" spans="1:19" s="119" customFormat="1" ht="15.75" customHeight="1" x14ac:dyDescent="0.25">
      <c r="A143" s="127">
        <f t="shared" si="22"/>
        <v>120</v>
      </c>
      <c r="B143" s="97" t="s">
        <v>140</v>
      </c>
      <c r="C143" s="98">
        <v>2.7490000000000001</v>
      </c>
      <c r="D143" s="98"/>
      <c r="E143" s="98">
        <f t="shared" si="27"/>
        <v>2.7490000000000001</v>
      </c>
      <c r="F143" s="172">
        <f t="shared" si="21"/>
        <v>3.1600000000000003E-2</v>
      </c>
      <c r="G143" s="98">
        <f t="shared" si="31"/>
        <v>2.8387030152829409</v>
      </c>
      <c r="H143" s="96"/>
      <c r="I143" s="98">
        <f>VLOOKUP(B143,'fixed cost'!$B$4:$R$116,17,0)</f>
        <v>0</v>
      </c>
      <c r="J143" s="96"/>
      <c r="K143" s="96"/>
      <c r="L143" s="96"/>
      <c r="M143" s="96"/>
      <c r="N143" s="96"/>
      <c r="O143" s="98">
        <f t="shared" si="28"/>
        <v>2.8387030152829409</v>
      </c>
      <c r="Q143" s="119">
        <v>2.7490000000000001</v>
      </c>
      <c r="R143" s="188">
        <f t="shared" si="29"/>
        <v>0</v>
      </c>
      <c r="S143" s="189">
        <f t="shared" si="30"/>
        <v>0</v>
      </c>
    </row>
    <row r="144" spans="1:19" s="95" customFormat="1" ht="15.75" customHeight="1" x14ac:dyDescent="0.25">
      <c r="A144" s="92">
        <f t="shared" si="22"/>
        <v>121</v>
      </c>
      <c r="B144" s="93" t="s">
        <v>146</v>
      </c>
      <c r="C144" s="94">
        <v>5.1970000000000001</v>
      </c>
      <c r="D144" s="94"/>
      <c r="E144" s="94">
        <f t="shared" si="27"/>
        <v>5.1970000000000001</v>
      </c>
      <c r="F144" s="173">
        <f t="shared" si="21"/>
        <v>3.1600000000000003E-2</v>
      </c>
      <c r="G144" s="94">
        <f t="shared" si="31"/>
        <v>5.3665840561751343</v>
      </c>
      <c r="H144" s="92"/>
      <c r="I144" s="94">
        <f>VLOOKUP(B144,'fixed cost'!$B$4:$R$116,17,0)</f>
        <v>0</v>
      </c>
      <c r="J144" s="92"/>
      <c r="K144" s="92"/>
      <c r="L144" s="92"/>
      <c r="M144" s="92"/>
      <c r="N144" s="92"/>
      <c r="O144" s="94">
        <f t="shared" si="28"/>
        <v>5.3665840561751343</v>
      </c>
      <c r="Q144" s="95">
        <v>5.3659999999999997</v>
      </c>
      <c r="R144" s="188">
        <f t="shared" si="29"/>
        <v>-0.16899999999999959</v>
      </c>
      <c r="S144" s="189">
        <f t="shared" si="30"/>
        <v>-3.1494595601938055E-2</v>
      </c>
    </row>
    <row r="145" spans="1:19" s="119" customFormat="1" ht="15.75" customHeight="1" x14ac:dyDescent="0.25">
      <c r="A145" s="127">
        <f t="shared" si="22"/>
        <v>122</v>
      </c>
      <c r="B145" s="46" t="s">
        <v>146</v>
      </c>
      <c r="C145" s="67">
        <f>C144</f>
        <v>5.1970000000000001</v>
      </c>
      <c r="D145" s="67">
        <f>D144</f>
        <v>0</v>
      </c>
      <c r="E145" s="67">
        <f t="shared" si="27"/>
        <v>5.1970000000000001</v>
      </c>
      <c r="F145" s="184">
        <f t="shared" si="21"/>
        <v>3.1600000000000003E-2</v>
      </c>
      <c r="G145" s="67">
        <f t="shared" si="31"/>
        <v>5.3665840561751343</v>
      </c>
      <c r="H145" s="66"/>
      <c r="I145" s="67">
        <f>VLOOKUP(B145,'fixed cost'!$B$4:$R$116,17,0)</f>
        <v>0</v>
      </c>
      <c r="J145" s="66"/>
      <c r="K145" s="66"/>
      <c r="L145" s="66"/>
      <c r="M145" s="67">
        <f>VLOOKUP(B145,'fixed cost'!$B$4:$H$104,7,0)</f>
        <v>1.56</v>
      </c>
      <c r="N145" s="66"/>
      <c r="O145" s="67">
        <f t="shared" si="28"/>
        <v>6.926584056175134</v>
      </c>
      <c r="Q145" s="119">
        <v>5.3659999999999997</v>
      </c>
      <c r="R145" s="188">
        <f t="shared" si="29"/>
        <v>-0.16899999999999959</v>
      </c>
      <c r="S145" s="189">
        <f t="shared" si="30"/>
        <v>-3.1494595601938055E-2</v>
      </c>
    </row>
    <row r="146" spans="1:19" s="119" customFormat="1" ht="15.75" customHeight="1" x14ac:dyDescent="0.25">
      <c r="A146" s="127">
        <f t="shared" si="22"/>
        <v>123</v>
      </c>
      <c r="B146" s="97" t="s">
        <v>164</v>
      </c>
      <c r="C146" s="98">
        <v>1.9690000000000001</v>
      </c>
      <c r="D146" s="98"/>
      <c r="E146" s="98">
        <f t="shared" si="27"/>
        <v>1.9690000000000001</v>
      </c>
      <c r="F146" s="172">
        <f t="shared" si="21"/>
        <v>3.1600000000000003E-2</v>
      </c>
      <c r="G146" s="98">
        <f t="shared" si="31"/>
        <v>2.0332507228418009</v>
      </c>
      <c r="H146" s="96"/>
      <c r="I146" s="98">
        <f>VLOOKUP(B146,'fixed cost'!$B$4:$R$116,17,0)</f>
        <v>0</v>
      </c>
      <c r="J146" s="96"/>
      <c r="K146" s="96"/>
      <c r="L146" s="96"/>
      <c r="M146" s="96"/>
      <c r="N146" s="96"/>
      <c r="O146" s="98">
        <f t="shared" si="28"/>
        <v>2.0332507228418009</v>
      </c>
      <c r="Q146" s="119">
        <v>1.9690000000000001</v>
      </c>
      <c r="R146" s="188">
        <f t="shared" si="29"/>
        <v>0</v>
      </c>
      <c r="S146" s="189">
        <f t="shared" si="30"/>
        <v>0</v>
      </c>
    </row>
    <row r="147" spans="1:19" s="119" customFormat="1" ht="15.75" customHeight="1" x14ac:dyDescent="0.25">
      <c r="A147" s="127">
        <f t="shared" si="22"/>
        <v>124</v>
      </c>
      <c r="B147" s="97" t="s">
        <v>148</v>
      </c>
      <c r="C147" s="98">
        <v>2.452</v>
      </c>
      <c r="D147" s="98"/>
      <c r="E147" s="98">
        <f t="shared" si="27"/>
        <v>2.452</v>
      </c>
      <c r="F147" s="172">
        <f t="shared" si="21"/>
        <v>3.1600000000000003E-2</v>
      </c>
      <c r="G147" s="98">
        <f t="shared" si="31"/>
        <v>2.5320115654688142</v>
      </c>
      <c r="H147" s="96"/>
      <c r="I147" s="98">
        <f>VLOOKUP(B147,'fixed cost'!$B$4:$R$116,17,0)</f>
        <v>0</v>
      </c>
      <c r="J147" s="96"/>
      <c r="K147" s="96"/>
      <c r="L147" s="96"/>
      <c r="M147" s="96"/>
      <c r="N147" s="96"/>
      <c r="O147" s="98">
        <f t="shared" si="28"/>
        <v>2.5320115654688142</v>
      </c>
      <c r="Q147" s="119">
        <v>2.452</v>
      </c>
      <c r="R147" s="188">
        <f t="shared" si="29"/>
        <v>0</v>
      </c>
      <c r="S147" s="189">
        <f t="shared" si="30"/>
        <v>0</v>
      </c>
    </row>
    <row r="148" spans="1:19" s="95" customFormat="1" ht="15.75" customHeight="1" x14ac:dyDescent="0.25">
      <c r="A148" s="127">
        <f t="shared" si="22"/>
        <v>125</v>
      </c>
      <c r="B148" s="97" t="s">
        <v>147</v>
      </c>
      <c r="C148" s="98">
        <v>2.3140000000000001</v>
      </c>
      <c r="D148" s="98"/>
      <c r="E148" s="98">
        <f t="shared" si="27"/>
        <v>2.3140000000000001</v>
      </c>
      <c r="F148" s="172">
        <f t="shared" si="21"/>
        <v>3.1600000000000003E-2</v>
      </c>
      <c r="G148" s="98">
        <f t="shared" si="31"/>
        <v>2.3895084675753822</v>
      </c>
      <c r="H148" s="96"/>
      <c r="I148" s="98">
        <f>VLOOKUP(B148,'fixed cost'!$B$4:$R$116,17,0)</f>
        <v>0</v>
      </c>
      <c r="J148" s="96"/>
      <c r="K148" s="96"/>
      <c r="L148" s="96"/>
      <c r="M148" s="96"/>
      <c r="N148" s="96"/>
      <c r="O148" s="98">
        <f t="shared" si="28"/>
        <v>2.3895084675753822</v>
      </c>
      <c r="Q148" s="95">
        <v>2.3140000000000001</v>
      </c>
      <c r="R148" s="188">
        <f t="shared" si="29"/>
        <v>0</v>
      </c>
      <c r="S148" s="189">
        <f t="shared" si="30"/>
        <v>0</v>
      </c>
    </row>
    <row r="149" spans="1:19" ht="15.75" customHeight="1" x14ac:dyDescent="0.25">
      <c r="A149" s="127">
        <f t="shared" si="22"/>
        <v>126</v>
      </c>
      <c r="B149" s="4" t="s">
        <v>168</v>
      </c>
      <c r="C149" s="1">
        <v>2.6160000000000001</v>
      </c>
      <c r="D149" s="1"/>
      <c r="E149" s="1">
        <f t="shared" si="27"/>
        <v>2.6160000000000001</v>
      </c>
      <c r="F149" s="7">
        <f t="shared" si="21"/>
        <v>3.1600000000000003E-2</v>
      </c>
      <c r="G149" s="1">
        <f t="shared" si="31"/>
        <v>2.7013630731102851</v>
      </c>
      <c r="H149" s="2"/>
      <c r="I149" s="1">
        <f>VLOOKUP(B149,'fixed cost'!$B$4:$R$116,17,0)</f>
        <v>0</v>
      </c>
      <c r="J149" s="2"/>
      <c r="K149" s="2"/>
      <c r="L149" s="2"/>
      <c r="M149" s="2"/>
      <c r="N149" s="2"/>
      <c r="O149" s="1">
        <f t="shared" si="28"/>
        <v>2.7013630731102851</v>
      </c>
      <c r="Q149" s="3">
        <v>2.6160000000000001</v>
      </c>
      <c r="R149" s="188">
        <f t="shared" si="29"/>
        <v>0</v>
      </c>
      <c r="S149" s="189">
        <f t="shared" si="30"/>
        <v>0</v>
      </c>
    </row>
    <row r="150" spans="1:19" s="27" customFormat="1" ht="15.75" customHeight="1" x14ac:dyDescent="0.25">
      <c r="A150" s="127">
        <f t="shared" si="22"/>
        <v>127</v>
      </c>
      <c r="B150" s="46" t="s">
        <v>168</v>
      </c>
      <c r="C150" s="67">
        <v>3.3410000000000002</v>
      </c>
      <c r="D150" s="67">
        <v>0</v>
      </c>
      <c r="E150" s="67">
        <f t="shared" si="27"/>
        <v>3.3410000000000002</v>
      </c>
      <c r="F150" s="184">
        <f t="shared" si="21"/>
        <v>3.1600000000000003E-2</v>
      </c>
      <c r="G150" s="67">
        <f t="shared" si="31"/>
        <v>3.4500206526228832</v>
      </c>
      <c r="H150" s="66"/>
      <c r="I150" s="67">
        <f>VLOOKUP(B150,'fixed cost'!$B$4:$R$116,17,0)</f>
        <v>0</v>
      </c>
      <c r="J150" s="66"/>
      <c r="K150" s="66"/>
      <c r="L150" s="66"/>
      <c r="M150" s="67">
        <f>VLOOKUP(B150,'fixed cost'!$B$4:$H$104,7,0)</f>
        <v>2.2494752521182821</v>
      </c>
      <c r="N150" s="66"/>
      <c r="O150" s="67">
        <f t="shared" si="28"/>
        <v>5.6994959047411653</v>
      </c>
      <c r="Q150" s="27">
        <v>2.6160000000000001</v>
      </c>
      <c r="R150" s="188">
        <f t="shared" si="29"/>
        <v>0.72500000000000009</v>
      </c>
      <c r="S150" s="189">
        <f t="shared" si="30"/>
        <v>0.27714067278287463</v>
      </c>
    </row>
    <row r="151" spans="1:19" s="95" customFormat="1" ht="15.75" customHeight="1" x14ac:dyDescent="0.25">
      <c r="A151" s="127">
        <f t="shared" si="22"/>
        <v>128</v>
      </c>
      <c r="B151" s="97" t="s">
        <v>138</v>
      </c>
      <c r="C151" s="98">
        <v>1.1819999999999999</v>
      </c>
      <c r="D151" s="98"/>
      <c r="E151" s="98">
        <f t="shared" si="27"/>
        <v>1.1819999999999999</v>
      </c>
      <c r="F151" s="172">
        <f t="shared" si="21"/>
        <v>3.1600000000000003E-2</v>
      </c>
      <c r="G151" s="98">
        <f t="shared" si="31"/>
        <v>1.2205700123915737</v>
      </c>
      <c r="H151" s="96"/>
      <c r="I151" s="98">
        <f>VLOOKUP(B151,'fixed cost'!$B$4:$R$116,17,0)</f>
        <v>0</v>
      </c>
      <c r="J151" s="96"/>
      <c r="K151" s="96"/>
      <c r="L151" s="96"/>
      <c r="M151" s="96"/>
      <c r="N151" s="96"/>
      <c r="O151" s="98">
        <f t="shared" si="28"/>
        <v>1.2205700123915737</v>
      </c>
      <c r="Q151" s="95">
        <v>1.1819999999999999</v>
      </c>
      <c r="R151" s="188">
        <f t="shared" si="29"/>
        <v>0</v>
      </c>
      <c r="S151" s="189">
        <f t="shared" si="30"/>
        <v>0</v>
      </c>
    </row>
    <row r="152" spans="1:19" s="95" customFormat="1" ht="15.75" customHeight="1" x14ac:dyDescent="0.25">
      <c r="A152" s="127">
        <f t="shared" si="22"/>
        <v>129</v>
      </c>
      <c r="B152" s="13" t="s">
        <v>150</v>
      </c>
      <c r="C152" s="15">
        <v>5.1189999999999998</v>
      </c>
      <c r="D152" s="15">
        <v>-0.107</v>
      </c>
      <c r="E152" s="1">
        <f t="shared" si="27"/>
        <v>5.0119999999999996</v>
      </c>
      <c r="F152" s="7">
        <f t="shared" si="21"/>
        <v>3.1600000000000003E-2</v>
      </c>
      <c r="G152" s="1">
        <f t="shared" si="31"/>
        <v>5.1755472945064014</v>
      </c>
      <c r="H152" s="2"/>
      <c r="I152" s="1">
        <f>VLOOKUP(B152,'fixed cost'!$B$4:$R$116,17,0)</f>
        <v>0</v>
      </c>
      <c r="J152" s="2"/>
      <c r="K152" s="2"/>
      <c r="L152" s="2"/>
      <c r="M152" s="2"/>
      <c r="N152" s="2"/>
      <c r="O152" s="1">
        <f t="shared" si="28"/>
        <v>5.1755472945064014</v>
      </c>
      <c r="Q152" s="95">
        <v>4.8920000000000003</v>
      </c>
      <c r="R152" s="188">
        <f t="shared" si="29"/>
        <v>0.22699999999999942</v>
      </c>
      <c r="S152" s="189">
        <f t="shared" si="30"/>
        <v>4.6402289452166685E-2</v>
      </c>
    </row>
    <row r="153" spans="1:19" s="95" customFormat="1" ht="15.75" customHeight="1" x14ac:dyDescent="0.25">
      <c r="A153" s="127">
        <f t="shared" si="22"/>
        <v>130</v>
      </c>
      <c r="B153" s="126" t="s">
        <v>150</v>
      </c>
      <c r="C153" s="67">
        <f>C152</f>
        <v>5.1189999999999998</v>
      </c>
      <c r="D153" s="67">
        <f>D152</f>
        <v>-0.107</v>
      </c>
      <c r="E153" s="67">
        <f t="shared" si="27"/>
        <v>5.0119999999999996</v>
      </c>
      <c r="F153" s="184">
        <f t="shared" si="21"/>
        <v>3.1600000000000003E-2</v>
      </c>
      <c r="G153" s="67">
        <f t="shared" si="31"/>
        <v>5.1755472945064014</v>
      </c>
      <c r="H153" s="66"/>
      <c r="I153" s="67">
        <f>VLOOKUP(B153,'fixed cost'!$B$4:$R$116,17,0)</f>
        <v>0</v>
      </c>
      <c r="J153" s="66"/>
      <c r="K153" s="66"/>
      <c r="L153" s="66"/>
      <c r="M153" s="67">
        <f>VLOOKUP(B153,'fixed cost'!$B$4:$H$104,7,0)</f>
        <v>0.65153793249911163</v>
      </c>
      <c r="N153" s="66"/>
      <c r="O153" s="67">
        <f t="shared" si="28"/>
        <v>5.8270852270055133</v>
      </c>
      <c r="Q153" s="95">
        <v>4.8920000000000003</v>
      </c>
      <c r="R153" s="188">
        <f t="shared" si="29"/>
        <v>0.22699999999999942</v>
      </c>
      <c r="S153" s="189">
        <f t="shared" si="30"/>
        <v>4.6402289452166685E-2</v>
      </c>
    </row>
    <row r="154" spans="1:19" s="95" customFormat="1" ht="15.75" customHeight="1" x14ac:dyDescent="0.25">
      <c r="A154" s="127">
        <f t="shared" si="22"/>
        <v>131</v>
      </c>
      <c r="B154" s="97" t="s">
        <v>141</v>
      </c>
      <c r="C154" s="98">
        <v>1.5389999999999999</v>
      </c>
      <c r="D154" s="98"/>
      <c r="E154" s="98">
        <f t="shared" si="27"/>
        <v>1.5389999999999999</v>
      </c>
      <c r="F154" s="172">
        <f t="shared" si="21"/>
        <v>3.1600000000000003E-2</v>
      </c>
      <c r="G154" s="98">
        <f t="shared" si="31"/>
        <v>1.5892193308550184</v>
      </c>
      <c r="H154" s="96"/>
      <c r="I154" s="98">
        <f>VLOOKUP(B154,'fixed cost'!$B$4:$R$116,17,0)</f>
        <v>0</v>
      </c>
      <c r="J154" s="96"/>
      <c r="K154" s="96"/>
      <c r="L154" s="96"/>
      <c r="M154" s="96"/>
      <c r="N154" s="96"/>
      <c r="O154" s="98">
        <f t="shared" si="28"/>
        <v>1.5892193308550184</v>
      </c>
      <c r="Q154" s="95">
        <v>1.5389999999999999</v>
      </c>
      <c r="R154" s="188">
        <f t="shared" si="29"/>
        <v>0</v>
      </c>
      <c r="S154" s="189">
        <f t="shared" si="30"/>
        <v>0</v>
      </c>
    </row>
    <row r="155" spans="1:19" s="95" customFormat="1" ht="15.75" customHeight="1" x14ac:dyDescent="0.25">
      <c r="A155" s="127">
        <f t="shared" si="22"/>
        <v>132</v>
      </c>
      <c r="B155" s="97" t="s">
        <v>137</v>
      </c>
      <c r="C155" s="98">
        <v>2.085</v>
      </c>
      <c r="D155" s="98"/>
      <c r="E155" s="98">
        <f t="shared" si="27"/>
        <v>2.085</v>
      </c>
      <c r="F155" s="172">
        <f t="shared" si="21"/>
        <v>3.1600000000000003E-2</v>
      </c>
      <c r="G155" s="98">
        <f t="shared" si="31"/>
        <v>2.1530359355638167</v>
      </c>
      <c r="H155" s="96"/>
      <c r="I155" s="98">
        <f>VLOOKUP(B155,'fixed cost'!$B$4:$R$116,17,0)</f>
        <v>0</v>
      </c>
      <c r="J155" s="96"/>
      <c r="K155" s="96"/>
      <c r="L155" s="96"/>
      <c r="M155" s="96"/>
      <c r="N155" s="96"/>
      <c r="O155" s="98">
        <f t="shared" si="28"/>
        <v>2.1530359355638167</v>
      </c>
      <c r="Q155" s="95">
        <v>2.085</v>
      </c>
      <c r="R155" s="188">
        <f t="shared" si="29"/>
        <v>0</v>
      </c>
      <c r="S155" s="189">
        <f t="shared" si="30"/>
        <v>0</v>
      </c>
    </row>
    <row r="156" spans="1:19" s="119" customFormat="1" ht="15.75" customHeight="1" x14ac:dyDescent="0.25">
      <c r="A156" s="127">
        <f t="shared" si="22"/>
        <v>133</v>
      </c>
      <c r="B156" s="4" t="s">
        <v>129</v>
      </c>
      <c r="C156" s="1">
        <v>1.4830000000000001</v>
      </c>
      <c r="D156" s="1">
        <v>-5.8999999999999999E-3</v>
      </c>
      <c r="E156" s="1">
        <f t="shared" si="27"/>
        <v>1.4771000000000001</v>
      </c>
      <c r="F156" s="7">
        <f t="shared" si="21"/>
        <v>3.1600000000000003E-2</v>
      </c>
      <c r="G156" s="1">
        <f t="shared" si="31"/>
        <v>1.5252994630318051</v>
      </c>
      <c r="H156" s="2"/>
      <c r="I156" s="1">
        <f>VLOOKUP(B156,'fixed cost'!$B$4:$R$116,17,0)</f>
        <v>0</v>
      </c>
      <c r="J156" s="2"/>
      <c r="K156" s="2"/>
      <c r="L156" s="2"/>
      <c r="M156" s="2"/>
      <c r="N156" s="2"/>
      <c r="O156" s="1">
        <f t="shared" si="28"/>
        <v>1.5252994630318051</v>
      </c>
      <c r="Q156" s="119">
        <v>1.458</v>
      </c>
      <c r="R156" s="188">
        <f t="shared" si="29"/>
        <v>2.5000000000000133E-2</v>
      </c>
      <c r="S156" s="189">
        <f t="shared" si="30"/>
        <v>1.7146776406035756E-2</v>
      </c>
    </row>
    <row r="157" spans="1:19" s="119" customFormat="1" ht="15.75" customHeight="1" x14ac:dyDescent="0.25">
      <c r="A157" s="127">
        <f t="shared" si="22"/>
        <v>134</v>
      </c>
      <c r="B157" s="46" t="s">
        <v>129</v>
      </c>
      <c r="C157" s="67">
        <f t="shared" ref="C157:D159" si="32">C156</f>
        <v>1.4830000000000001</v>
      </c>
      <c r="D157" s="67">
        <f t="shared" si="32"/>
        <v>-5.8999999999999999E-3</v>
      </c>
      <c r="E157" s="67">
        <f t="shared" si="27"/>
        <v>1.4771000000000001</v>
      </c>
      <c r="F157" s="184">
        <f t="shared" si="21"/>
        <v>3.1600000000000003E-2</v>
      </c>
      <c r="G157" s="67">
        <f t="shared" si="31"/>
        <v>1.5252994630318051</v>
      </c>
      <c r="H157" s="66"/>
      <c r="I157" s="67">
        <f>VLOOKUP(B157,'fixed cost'!$B$4:$R$116,17,0)</f>
        <v>0</v>
      </c>
      <c r="J157" s="66"/>
      <c r="K157" s="66"/>
      <c r="L157" s="66"/>
      <c r="M157" s="67">
        <f>VLOOKUP(B157,'fixed cost'!$B$4:$H$104,7,0)</f>
        <v>0.83038164640483936</v>
      </c>
      <c r="N157" s="66"/>
      <c r="O157" s="67">
        <f t="shared" si="28"/>
        <v>2.3556811094366443</v>
      </c>
      <c r="Q157" s="119">
        <v>1.458</v>
      </c>
      <c r="R157" s="188">
        <f t="shared" si="29"/>
        <v>2.5000000000000133E-2</v>
      </c>
      <c r="S157" s="189">
        <f t="shared" si="30"/>
        <v>1.7146776406035756E-2</v>
      </c>
    </row>
    <row r="158" spans="1:19" s="182" customFormat="1" ht="15.75" customHeight="1" x14ac:dyDescent="0.25">
      <c r="A158" s="127">
        <f t="shared" si="22"/>
        <v>135</v>
      </c>
      <c r="B158" s="59" t="s">
        <v>129</v>
      </c>
      <c r="C158" s="60">
        <f t="shared" si="32"/>
        <v>1.4830000000000001</v>
      </c>
      <c r="D158" s="60">
        <f t="shared" si="32"/>
        <v>-5.8999999999999999E-3</v>
      </c>
      <c r="E158" s="60">
        <f t="shared" si="27"/>
        <v>1.4771000000000001</v>
      </c>
      <c r="F158" s="124">
        <f t="shared" si="21"/>
        <v>3.1600000000000003E-2</v>
      </c>
      <c r="G158" s="60">
        <f t="shared" si="31"/>
        <v>1.5252994630318051</v>
      </c>
      <c r="H158" s="58"/>
      <c r="I158" s="1">
        <f>VLOOKUP(B158,'fixed cost'!$B$4:$R$116,17,0)</f>
        <v>0</v>
      </c>
      <c r="J158" s="58"/>
      <c r="K158" s="58"/>
      <c r="L158" s="58"/>
      <c r="M158" s="125"/>
      <c r="N158" s="58">
        <v>0.5</v>
      </c>
      <c r="O158" s="60">
        <f t="shared" si="28"/>
        <v>2.0252994630318053</v>
      </c>
      <c r="Q158" s="182">
        <v>1.458</v>
      </c>
      <c r="R158" s="188">
        <f t="shared" si="29"/>
        <v>2.5000000000000133E-2</v>
      </c>
      <c r="S158" s="189">
        <f t="shared" si="30"/>
        <v>1.7146776406035756E-2</v>
      </c>
    </row>
    <row r="159" spans="1:19" s="182" customFormat="1" ht="15.75" customHeight="1" x14ac:dyDescent="0.25">
      <c r="A159" s="127">
        <f t="shared" si="22"/>
        <v>136</v>
      </c>
      <c r="B159" s="147" t="s">
        <v>129</v>
      </c>
      <c r="C159" s="148">
        <f t="shared" si="32"/>
        <v>1.4830000000000001</v>
      </c>
      <c r="D159" s="149">
        <f t="shared" si="32"/>
        <v>-5.8999999999999999E-3</v>
      </c>
      <c r="E159" s="148">
        <f>E158</f>
        <v>1.4771000000000001</v>
      </c>
      <c r="F159" s="150">
        <f>F158</f>
        <v>3.1600000000000003E-2</v>
      </c>
      <c r="G159" s="148">
        <f>G158</f>
        <v>1.5252994630318051</v>
      </c>
      <c r="H159" s="146"/>
      <c r="I159" s="1">
        <f>VLOOKUP(B159,'fixed cost'!$B$4:$R$116,17,0)</f>
        <v>0</v>
      </c>
      <c r="J159" s="146"/>
      <c r="K159" s="146"/>
      <c r="L159" s="146"/>
      <c r="M159" s="146"/>
      <c r="N159" s="146">
        <v>0.65</v>
      </c>
      <c r="O159" s="148">
        <f t="shared" si="28"/>
        <v>2.1752994630318052</v>
      </c>
      <c r="Q159" s="182">
        <v>1.458</v>
      </c>
      <c r="R159" s="188">
        <f t="shared" si="29"/>
        <v>2.5000000000000133E-2</v>
      </c>
      <c r="S159" s="189">
        <f t="shared" si="30"/>
        <v>1.7146776406035756E-2</v>
      </c>
    </row>
    <row r="160" spans="1:19" s="119" customFormat="1" ht="15.75" customHeight="1" x14ac:dyDescent="0.25">
      <c r="A160" s="127">
        <f t="shared" si="22"/>
        <v>137</v>
      </c>
      <c r="B160" s="4" t="s">
        <v>130</v>
      </c>
      <c r="C160" s="1">
        <v>1.48</v>
      </c>
      <c r="D160" s="1">
        <v>-6.0000000000000001E-3</v>
      </c>
      <c r="E160" s="1">
        <f t="shared" si="27"/>
        <v>1.474</v>
      </c>
      <c r="F160" s="7">
        <f>F158</f>
        <v>3.1600000000000003E-2</v>
      </c>
      <c r="G160" s="1">
        <f t="shared" si="31"/>
        <v>1.5220983064849234</v>
      </c>
      <c r="H160" s="2"/>
      <c r="I160" s="1">
        <f>VLOOKUP(B160,'fixed cost'!$B$4:$R$116,17,0)</f>
        <v>0</v>
      </c>
      <c r="J160" s="2"/>
      <c r="K160" s="2"/>
      <c r="L160" s="2"/>
      <c r="M160" s="2"/>
      <c r="N160" s="2"/>
      <c r="O160" s="1">
        <f t="shared" si="28"/>
        <v>1.5220983064849234</v>
      </c>
      <c r="Q160" s="119">
        <v>1.903</v>
      </c>
      <c r="R160" s="188">
        <f t="shared" si="29"/>
        <v>-0.42300000000000004</v>
      </c>
      <c r="S160" s="189">
        <f t="shared" si="30"/>
        <v>-0.22228060956384657</v>
      </c>
    </row>
    <row r="161" spans="1:19" s="119" customFormat="1" ht="15.75" customHeight="1" x14ac:dyDescent="0.25">
      <c r="A161" s="127">
        <f t="shared" si="22"/>
        <v>138</v>
      </c>
      <c r="B161" s="46" t="s">
        <v>130</v>
      </c>
      <c r="C161" s="67">
        <f>C160</f>
        <v>1.48</v>
      </c>
      <c r="D161" s="67">
        <f>D160</f>
        <v>-6.0000000000000001E-3</v>
      </c>
      <c r="E161" s="67">
        <f t="shared" si="27"/>
        <v>1.474</v>
      </c>
      <c r="F161" s="184">
        <f t="shared" ref="F161:F183" si="33">F160</f>
        <v>3.1600000000000003E-2</v>
      </c>
      <c r="G161" s="67">
        <f t="shared" si="31"/>
        <v>1.5220983064849234</v>
      </c>
      <c r="H161" s="66"/>
      <c r="I161" s="67">
        <f>VLOOKUP(B161,'fixed cost'!$B$4:$R$116,17,0)</f>
        <v>0</v>
      </c>
      <c r="J161" s="66"/>
      <c r="K161" s="66"/>
      <c r="L161" s="66"/>
      <c r="M161" s="67">
        <f>VLOOKUP(B161,'fixed cost'!$B$4:$H$104,7,0)</f>
        <v>0.77934853313441221</v>
      </c>
      <c r="N161" s="66"/>
      <c r="O161" s="67">
        <f t="shared" si="28"/>
        <v>2.3014468396193357</v>
      </c>
      <c r="Q161" s="119">
        <v>1.903</v>
      </c>
      <c r="R161" s="188">
        <f t="shared" si="29"/>
        <v>-0.42300000000000004</v>
      </c>
      <c r="S161" s="189">
        <f t="shared" si="30"/>
        <v>-0.22228060956384657</v>
      </c>
    </row>
    <row r="162" spans="1:19" s="61" customFormat="1" ht="15.75" customHeight="1" x14ac:dyDescent="0.25">
      <c r="A162" s="127">
        <f t="shared" si="22"/>
        <v>139</v>
      </c>
      <c r="B162" s="59" t="s">
        <v>130</v>
      </c>
      <c r="C162" s="60">
        <f>C160</f>
        <v>1.48</v>
      </c>
      <c r="D162" s="60">
        <f>D161</f>
        <v>-6.0000000000000001E-3</v>
      </c>
      <c r="E162" s="60">
        <f t="shared" si="27"/>
        <v>1.474</v>
      </c>
      <c r="F162" s="124">
        <f t="shared" si="33"/>
        <v>3.1600000000000003E-2</v>
      </c>
      <c r="G162" s="60">
        <f t="shared" si="31"/>
        <v>1.5220983064849234</v>
      </c>
      <c r="H162" s="58"/>
      <c r="I162" s="1">
        <f>VLOOKUP(B162,'fixed cost'!$B$4:$R$116,17,0)</f>
        <v>0</v>
      </c>
      <c r="J162" s="58"/>
      <c r="K162" s="58"/>
      <c r="L162" s="58"/>
      <c r="M162" s="58"/>
      <c r="N162" s="58">
        <v>0.5</v>
      </c>
      <c r="O162" s="60">
        <f t="shared" si="28"/>
        <v>2.0220983064849234</v>
      </c>
      <c r="Q162" s="61">
        <v>1.903</v>
      </c>
      <c r="R162" s="188">
        <f t="shared" si="29"/>
        <v>-0.42300000000000004</v>
      </c>
      <c r="S162" s="189">
        <f t="shared" si="30"/>
        <v>-0.22228060956384657</v>
      </c>
    </row>
    <row r="163" spans="1:19" s="61" customFormat="1" ht="15.75" customHeight="1" x14ac:dyDescent="0.25">
      <c r="A163" s="127">
        <f t="shared" si="22"/>
        <v>140</v>
      </c>
      <c r="B163" s="147" t="s">
        <v>130</v>
      </c>
      <c r="C163" s="148">
        <f>C161</f>
        <v>1.48</v>
      </c>
      <c r="D163" s="148">
        <f>D162</f>
        <v>-6.0000000000000001E-3</v>
      </c>
      <c r="E163" s="148">
        <f t="shared" si="27"/>
        <v>1.474</v>
      </c>
      <c r="F163" s="150">
        <f t="shared" si="33"/>
        <v>3.1600000000000003E-2</v>
      </c>
      <c r="G163" s="148">
        <f t="shared" si="31"/>
        <v>1.5220983064849234</v>
      </c>
      <c r="H163" s="146"/>
      <c r="I163" s="1">
        <f>VLOOKUP(B163,'fixed cost'!$B$4:$R$116,17,0)</f>
        <v>0</v>
      </c>
      <c r="J163" s="146"/>
      <c r="K163" s="146"/>
      <c r="L163" s="146"/>
      <c r="M163" s="146"/>
      <c r="N163" s="146">
        <v>0.65</v>
      </c>
      <c r="O163" s="148">
        <f t="shared" si="28"/>
        <v>2.1720983064849233</v>
      </c>
      <c r="Q163" s="61">
        <v>1.903</v>
      </c>
      <c r="R163" s="188">
        <f t="shared" si="29"/>
        <v>-0.42300000000000004</v>
      </c>
      <c r="S163" s="189">
        <f t="shared" si="30"/>
        <v>-0.22228060956384657</v>
      </c>
    </row>
    <row r="164" spans="1:19" s="119" customFormat="1" ht="15.75" customHeight="1" x14ac:dyDescent="0.25">
      <c r="A164" s="127">
        <f t="shared" si="22"/>
        <v>141</v>
      </c>
      <c r="B164" s="4" t="s">
        <v>131</v>
      </c>
      <c r="C164" s="1">
        <v>1.4610000000000001</v>
      </c>
      <c r="D164" s="1">
        <v>-4.8999999999999998E-3</v>
      </c>
      <c r="E164" s="1">
        <f t="shared" si="27"/>
        <v>1.4561000000000002</v>
      </c>
      <c r="F164" s="7">
        <f t="shared" si="33"/>
        <v>3.1600000000000003E-2</v>
      </c>
      <c r="G164" s="1">
        <f t="shared" si="31"/>
        <v>1.5036142090045437</v>
      </c>
      <c r="H164" s="2"/>
      <c r="I164" s="1">
        <f>VLOOKUP(B164,'fixed cost'!$B$4:$R$116,17,0)</f>
        <v>0</v>
      </c>
      <c r="J164" s="2"/>
      <c r="K164" s="2"/>
      <c r="L164" s="2"/>
      <c r="M164" s="2"/>
      <c r="N164" s="2"/>
      <c r="O164" s="1">
        <f t="shared" si="28"/>
        <v>1.5036142090045437</v>
      </c>
      <c r="Q164" s="119">
        <v>1.8859999999999999</v>
      </c>
      <c r="R164" s="188">
        <f t="shared" si="29"/>
        <v>-0.42499999999999982</v>
      </c>
      <c r="S164" s="189">
        <f t="shared" si="30"/>
        <v>-0.22534464475079524</v>
      </c>
    </row>
    <row r="165" spans="1:19" s="119" customFormat="1" ht="15.75" customHeight="1" x14ac:dyDescent="0.25">
      <c r="A165" s="127">
        <f t="shared" ref="A165:A183" si="34">A164+1</f>
        <v>142</v>
      </c>
      <c r="B165" s="46" t="s">
        <v>131</v>
      </c>
      <c r="C165" s="67">
        <f t="shared" ref="C165:D167" si="35">C164</f>
        <v>1.4610000000000001</v>
      </c>
      <c r="D165" s="67">
        <f t="shared" si="35"/>
        <v>-4.8999999999999998E-3</v>
      </c>
      <c r="E165" s="67">
        <f t="shared" si="27"/>
        <v>1.4561000000000002</v>
      </c>
      <c r="F165" s="184">
        <f t="shared" si="33"/>
        <v>3.1600000000000003E-2</v>
      </c>
      <c r="G165" s="67">
        <f t="shared" si="31"/>
        <v>1.5036142090045437</v>
      </c>
      <c r="H165" s="66"/>
      <c r="I165" s="67">
        <f>VLOOKUP(B165,'fixed cost'!$B$4:$R$116,17,0)</f>
        <v>0</v>
      </c>
      <c r="J165" s="66"/>
      <c r="K165" s="66"/>
      <c r="L165" s="66"/>
      <c r="M165" s="67">
        <f>VLOOKUP(B165,'fixed cost'!$B$4:$H$104,7,0)</f>
        <v>1.4694115224666227</v>
      </c>
      <c r="N165" s="66"/>
      <c r="O165" s="67">
        <f t="shared" si="28"/>
        <v>2.9730257314711661</v>
      </c>
      <c r="Q165" s="119">
        <v>1.8859999999999999</v>
      </c>
      <c r="R165" s="188">
        <f t="shared" si="29"/>
        <v>-0.42499999999999982</v>
      </c>
      <c r="S165" s="189">
        <f t="shared" si="30"/>
        <v>-0.22534464475079524</v>
      </c>
    </row>
    <row r="166" spans="1:19" s="182" customFormat="1" ht="15.75" customHeight="1" x14ac:dyDescent="0.25">
      <c r="A166" s="58">
        <f t="shared" si="34"/>
        <v>143</v>
      </c>
      <c r="B166" s="59" t="s">
        <v>131</v>
      </c>
      <c r="C166" s="60">
        <f t="shared" si="35"/>
        <v>1.4610000000000001</v>
      </c>
      <c r="D166" s="60">
        <f t="shared" si="35"/>
        <v>-4.8999999999999998E-3</v>
      </c>
      <c r="E166" s="60">
        <f t="shared" si="27"/>
        <v>1.4561000000000002</v>
      </c>
      <c r="F166" s="124">
        <f t="shared" si="33"/>
        <v>3.1600000000000003E-2</v>
      </c>
      <c r="G166" s="60">
        <f t="shared" si="31"/>
        <v>1.5036142090045437</v>
      </c>
      <c r="H166" s="58"/>
      <c r="I166" s="1">
        <f>VLOOKUP(B166,'fixed cost'!$B$4:$R$116,17,0)</f>
        <v>0</v>
      </c>
      <c r="J166" s="58"/>
      <c r="K166" s="58"/>
      <c r="L166" s="58"/>
      <c r="M166" s="125"/>
      <c r="N166" s="58">
        <v>0.5</v>
      </c>
      <c r="O166" s="60">
        <f t="shared" si="28"/>
        <v>2.0036142090045437</v>
      </c>
      <c r="Q166" s="182">
        <v>1.8859999999999999</v>
      </c>
      <c r="R166" s="188">
        <f t="shared" si="29"/>
        <v>-0.42499999999999982</v>
      </c>
      <c r="S166" s="189">
        <f t="shared" si="30"/>
        <v>-0.22534464475079524</v>
      </c>
    </row>
    <row r="167" spans="1:19" s="182" customFormat="1" ht="15.75" customHeight="1" x14ac:dyDescent="0.25">
      <c r="A167" s="146"/>
      <c r="B167" s="147" t="s">
        <v>131</v>
      </c>
      <c r="C167" s="148">
        <f t="shared" si="35"/>
        <v>1.4610000000000001</v>
      </c>
      <c r="D167" s="149">
        <f t="shared" si="35"/>
        <v>-4.8999999999999998E-3</v>
      </c>
      <c r="E167" s="148">
        <f t="shared" si="27"/>
        <v>1.4561000000000002</v>
      </c>
      <c r="F167" s="150">
        <f t="shared" si="33"/>
        <v>3.1600000000000003E-2</v>
      </c>
      <c r="G167" s="148">
        <f t="shared" si="31"/>
        <v>1.5036142090045437</v>
      </c>
      <c r="H167" s="146"/>
      <c r="I167" s="1">
        <f>VLOOKUP(B167,'fixed cost'!$B$4:$R$116,17,0)</f>
        <v>0</v>
      </c>
      <c r="J167" s="146"/>
      <c r="K167" s="146"/>
      <c r="L167" s="146"/>
      <c r="M167" s="146"/>
      <c r="N167" s="146">
        <v>0.65</v>
      </c>
      <c r="O167" s="148">
        <f t="shared" si="28"/>
        <v>2.1536142090045436</v>
      </c>
      <c r="Q167" s="182">
        <v>1.8859999999999999</v>
      </c>
      <c r="R167" s="188">
        <f t="shared" si="29"/>
        <v>-0.42499999999999982</v>
      </c>
      <c r="S167" s="189">
        <f t="shared" si="30"/>
        <v>-0.22534464475079524</v>
      </c>
    </row>
    <row r="168" spans="1:19" s="119" customFormat="1" ht="15.75" customHeight="1" x14ac:dyDescent="0.25">
      <c r="A168" s="127">
        <f>A166+1</f>
        <v>144</v>
      </c>
      <c r="B168" s="97" t="s">
        <v>144</v>
      </c>
      <c r="C168" s="98">
        <v>2.6480000000000001</v>
      </c>
      <c r="D168" s="98"/>
      <c r="E168" s="98">
        <f t="shared" si="27"/>
        <v>2.6480000000000001</v>
      </c>
      <c r="F168" s="172">
        <f t="shared" si="33"/>
        <v>3.1600000000000003E-2</v>
      </c>
      <c r="G168" s="98">
        <f t="shared" si="31"/>
        <v>2.7344072697232549</v>
      </c>
      <c r="H168" s="96"/>
      <c r="I168" s="98">
        <f>VLOOKUP(B168,'fixed cost'!$B$4:$R$116,17,0)</f>
        <v>0</v>
      </c>
      <c r="J168" s="96"/>
      <c r="K168" s="96"/>
      <c r="L168" s="96"/>
      <c r="M168" s="96"/>
      <c r="N168" s="96"/>
      <c r="O168" s="98">
        <f t="shared" si="28"/>
        <v>2.7344072697232549</v>
      </c>
      <c r="Q168" s="119">
        <v>2.6480000000000001</v>
      </c>
      <c r="R168" s="188">
        <f t="shared" si="29"/>
        <v>0</v>
      </c>
      <c r="S168" s="189">
        <f t="shared" si="30"/>
        <v>0</v>
      </c>
    </row>
    <row r="169" spans="1:19" s="119" customFormat="1" ht="15.75" customHeight="1" x14ac:dyDescent="0.25">
      <c r="A169" s="127">
        <f t="shared" si="34"/>
        <v>145</v>
      </c>
      <c r="B169" s="4" t="s">
        <v>132</v>
      </c>
      <c r="C169" s="1">
        <v>1.4690000000000001</v>
      </c>
      <c r="D169" s="1">
        <v>5.4899999999999997E-2</v>
      </c>
      <c r="E169" s="1">
        <f t="shared" si="27"/>
        <v>1.5239</v>
      </c>
      <c r="F169" s="7">
        <f t="shared" si="33"/>
        <v>3.1600000000000003E-2</v>
      </c>
      <c r="G169" s="1">
        <f t="shared" si="31"/>
        <v>1.5736266005782733</v>
      </c>
      <c r="H169" s="2"/>
      <c r="I169" s="1">
        <f>VLOOKUP(B169,'fixed cost'!$B$4:$R$116,17,0)</f>
        <v>0</v>
      </c>
      <c r="J169" s="2"/>
      <c r="K169" s="2"/>
      <c r="L169" s="2"/>
      <c r="M169" s="2"/>
      <c r="N169" s="2"/>
      <c r="O169" s="1">
        <f t="shared" si="28"/>
        <v>1.5736266005782733</v>
      </c>
      <c r="Q169" s="119">
        <v>1.4670000000000001</v>
      </c>
      <c r="R169" s="188">
        <f t="shared" si="29"/>
        <v>2.0000000000000018E-3</v>
      </c>
      <c r="S169" s="189">
        <f t="shared" si="30"/>
        <v>1.363326516700751E-3</v>
      </c>
    </row>
    <row r="170" spans="1:19" s="119" customFormat="1" ht="15.75" customHeight="1" x14ac:dyDescent="0.25">
      <c r="A170" s="127">
        <f t="shared" si="34"/>
        <v>146</v>
      </c>
      <c r="B170" s="46" t="s">
        <v>132</v>
      </c>
      <c r="C170" s="67">
        <f>C169</f>
        <v>1.4690000000000001</v>
      </c>
      <c r="D170" s="67">
        <f>D169</f>
        <v>5.4899999999999997E-2</v>
      </c>
      <c r="E170" s="67">
        <f t="shared" si="27"/>
        <v>1.5239</v>
      </c>
      <c r="F170" s="184">
        <f t="shared" si="33"/>
        <v>3.1600000000000003E-2</v>
      </c>
      <c r="G170" s="67">
        <f t="shared" si="31"/>
        <v>1.5736266005782733</v>
      </c>
      <c r="H170" s="66"/>
      <c r="I170" s="67">
        <f>VLOOKUP(B170,'fixed cost'!$B$4:$R$116,17,0)</f>
        <v>0</v>
      </c>
      <c r="J170" s="66"/>
      <c r="K170" s="66"/>
      <c r="L170" s="66"/>
      <c r="M170" s="67">
        <f>VLOOKUP(B170,'fixed cost'!$B$4:$H$104,7,0)</f>
        <v>0.76384627104384095</v>
      </c>
      <c r="N170" s="66"/>
      <c r="O170" s="67">
        <f t="shared" si="28"/>
        <v>2.337472871622114</v>
      </c>
      <c r="Q170" s="119">
        <v>1.4670000000000001</v>
      </c>
      <c r="R170" s="188">
        <f t="shared" si="29"/>
        <v>2.0000000000000018E-3</v>
      </c>
      <c r="S170" s="189">
        <f t="shared" si="30"/>
        <v>1.363326516700751E-3</v>
      </c>
    </row>
    <row r="171" spans="1:19" s="65" customFormat="1" ht="15.75" customHeight="1" x14ac:dyDescent="0.25">
      <c r="A171" s="127">
        <f t="shared" si="34"/>
        <v>147</v>
      </c>
      <c r="B171" s="63" t="s">
        <v>151</v>
      </c>
      <c r="C171" s="64">
        <v>5.04</v>
      </c>
      <c r="D171" s="64"/>
      <c r="E171" s="64">
        <f t="shared" si="27"/>
        <v>5.04</v>
      </c>
      <c r="F171" s="178">
        <f t="shared" si="33"/>
        <v>3.1600000000000003E-2</v>
      </c>
      <c r="G171" s="64">
        <f t="shared" si="31"/>
        <v>5.2044609665427508</v>
      </c>
      <c r="H171" s="62"/>
      <c r="I171" s="1">
        <f>VLOOKUP(B171,'fixed cost'!$B$4:$R$116,17,0)</f>
        <v>0</v>
      </c>
      <c r="J171" s="62"/>
      <c r="K171" s="62"/>
      <c r="L171" s="62"/>
      <c r="M171" s="62"/>
      <c r="N171" s="62"/>
      <c r="O171" s="64">
        <f t="shared" si="28"/>
        <v>5.2044609665427508</v>
      </c>
      <c r="Q171" s="65">
        <v>5.04</v>
      </c>
      <c r="R171" s="188">
        <f t="shared" si="29"/>
        <v>0</v>
      </c>
      <c r="S171" s="189">
        <f t="shared" si="30"/>
        <v>0</v>
      </c>
    </row>
    <row r="172" spans="1:19" s="119" customFormat="1" ht="15.75" customHeight="1" x14ac:dyDescent="0.25">
      <c r="A172" s="127">
        <f t="shared" si="34"/>
        <v>148</v>
      </c>
      <c r="B172" s="4" t="s">
        <v>245</v>
      </c>
      <c r="C172" s="1">
        <v>4.7960000000000003</v>
      </c>
      <c r="D172" s="1">
        <v>0.01</v>
      </c>
      <c r="E172" s="1">
        <f t="shared" si="27"/>
        <v>4.806</v>
      </c>
      <c r="F172" s="7">
        <f t="shared" si="33"/>
        <v>3.1600000000000003E-2</v>
      </c>
      <c r="G172" s="1">
        <f t="shared" si="31"/>
        <v>4.962825278810409</v>
      </c>
      <c r="H172" s="2"/>
      <c r="I172" s="1">
        <f>VLOOKUP(B172,'fixed cost'!$B$4:$R$116,17,0)</f>
        <v>0</v>
      </c>
      <c r="J172" s="1"/>
      <c r="K172" s="1">
        <v>0.24210000000000001</v>
      </c>
      <c r="L172" s="2"/>
      <c r="M172" s="2"/>
      <c r="N172" s="2"/>
      <c r="O172" s="1">
        <f t="shared" si="28"/>
        <v>5.2049252788104088</v>
      </c>
      <c r="Q172" s="119">
        <v>4.9630000000000001</v>
      </c>
      <c r="R172" s="188">
        <f t="shared" si="29"/>
        <v>-0.16699999999999982</v>
      </c>
      <c r="S172" s="189">
        <f t="shared" si="30"/>
        <v>-3.3649002619383403E-2</v>
      </c>
    </row>
    <row r="173" spans="1:19" s="119" customFormat="1" ht="15.75" customHeight="1" x14ac:dyDescent="0.25">
      <c r="A173" s="127">
        <f t="shared" si="34"/>
        <v>149</v>
      </c>
      <c r="B173" s="46" t="s">
        <v>245</v>
      </c>
      <c r="C173" s="67">
        <f>C172</f>
        <v>4.7960000000000003</v>
      </c>
      <c r="D173" s="67">
        <f>D172</f>
        <v>0.01</v>
      </c>
      <c r="E173" s="67">
        <f t="shared" si="27"/>
        <v>4.806</v>
      </c>
      <c r="F173" s="184">
        <f t="shared" si="33"/>
        <v>3.1600000000000003E-2</v>
      </c>
      <c r="G173" s="67">
        <f t="shared" si="31"/>
        <v>4.962825278810409</v>
      </c>
      <c r="H173" s="66"/>
      <c r="I173" s="67">
        <f>VLOOKUP(B173,'fixed cost'!$B$4:$R$116,17,0)</f>
        <v>0</v>
      </c>
      <c r="J173" s="67"/>
      <c r="K173" s="67">
        <f>K172</f>
        <v>0.24210000000000001</v>
      </c>
      <c r="L173" s="66"/>
      <c r="M173" s="67">
        <f>VLOOKUP(B173,'fixed cost'!$B$4:$H$104,7,0)</f>
        <v>1.7669774010626034</v>
      </c>
      <c r="N173" s="66"/>
      <c r="O173" s="67">
        <f t="shared" si="28"/>
        <v>6.9719026798730122</v>
      </c>
      <c r="Q173" s="119">
        <v>4.9630000000000001</v>
      </c>
      <c r="R173" s="188">
        <f t="shared" si="29"/>
        <v>-0.16699999999999982</v>
      </c>
      <c r="S173" s="189">
        <f t="shared" si="30"/>
        <v>-3.3649002619383403E-2</v>
      </c>
    </row>
    <row r="174" spans="1:19" s="119" customFormat="1" ht="15.75" customHeight="1" x14ac:dyDescent="0.25">
      <c r="A174" s="127">
        <f t="shared" si="34"/>
        <v>150</v>
      </c>
      <c r="B174" s="97" t="s">
        <v>139</v>
      </c>
      <c r="C174" s="98">
        <v>2.117</v>
      </c>
      <c r="D174" s="98"/>
      <c r="E174" s="98">
        <f t="shared" si="27"/>
        <v>2.117</v>
      </c>
      <c r="F174" s="172">
        <f t="shared" si="33"/>
        <v>3.1600000000000003E-2</v>
      </c>
      <c r="G174" s="98">
        <f t="shared" si="31"/>
        <v>2.1860801321767864</v>
      </c>
      <c r="H174" s="96"/>
      <c r="I174" s="98">
        <f>VLOOKUP(B174,'fixed cost'!$B$4:$R$116,17,0)</f>
        <v>0</v>
      </c>
      <c r="J174" s="96"/>
      <c r="K174" s="96"/>
      <c r="L174" s="96"/>
      <c r="M174" s="96"/>
      <c r="N174" s="96"/>
      <c r="O174" s="98">
        <f t="shared" si="28"/>
        <v>2.1860801321767864</v>
      </c>
      <c r="Q174" s="119">
        <v>2.117</v>
      </c>
      <c r="R174" s="188">
        <f t="shared" si="29"/>
        <v>0</v>
      </c>
      <c r="S174" s="189">
        <f t="shared" si="30"/>
        <v>0</v>
      </c>
    </row>
    <row r="175" spans="1:19" s="119" customFormat="1" ht="15.75" customHeight="1" x14ac:dyDescent="0.25">
      <c r="A175" s="127">
        <f t="shared" si="34"/>
        <v>151</v>
      </c>
      <c r="B175" s="4" t="s">
        <v>134</v>
      </c>
      <c r="C175" s="1">
        <v>4.6440000000000001</v>
      </c>
      <c r="D175" s="1">
        <v>-0.06</v>
      </c>
      <c r="E175" s="1">
        <f t="shared" si="27"/>
        <v>4.5840000000000005</v>
      </c>
      <c r="F175" s="7">
        <f t="shared" si="33"/>
        <v>3.1600000000000003E-2</v>
      </c>
      <c r="G175" s="1">
        <f t="shared" si="31"/>
        <v>4.7335811648079309</v>
      </c>
      <c r="H175" s="2"/>
      <c r="I175" s="1">
        <f>VLOOKUP(B175,'fixed cost'!$B$4:$R$116,17,0)</f>
        <v>0</v>
      </c>
      <c r="J175" s="2"/>
      <c r="K175" s="2"/>
      <c r="L175" s="2"/>
      <c r="M175" s="2"/>
      <c r="N175" s="2"/>
      <c r="O175" s="1">
        <f t="shared" si="28"/>
        <v>4.7335811648079309</v>
      </c>
      <c r="Q175" s="119">
        <v>4.6669999999999998</v>
      </c>
      <c r="R175" s="188">
        <f t="shared" si="29"/>
        <v>-2.2999999999999687E-2</v>
      </c>
      <c r="S175" s="189">
        <f t="shared" si="30"/>
        <v>-4.928219412899012E-3</v>
      </c>
    </row>
    <row r="176" spans="1:19" s="119" customFormat="1" ht="15.75" customHeight="1" x14ac:dyDescent="0.25">
      <c r="A176" s="127">
        <f t="shared" si="34"/>
        <v>152</v>
      </c>
      <c r="B176" s="46" t="s">
        <v>134</v>
      </c>
      <c r="C176" s="67">
        <f>C175</f>
        <v>4.6440000000000001</v>
      </c>
      <c r="D176" s="67">
        <f>D175</f>
        <v>-0.06</v>
      </c>
      <c r="E176" s="67">
        <f t="shared" si="27"/>
        <v>4.5840000000000005</v>
      </c>
      <c r="F176" s="184">
        <f t="shared" si="33"/>
        <v>3.1600000000000003E-2</v>
      </c>
      <c r="G176" s="67">
        <f t="shared" si="31"/>
        <v>4.7335811648079309</v>
      </c>
      <c r="H176" s="66"/>
      <c r="I176" s="67">
        <f>VLOOKUP(B176,'fixed cost'!$B$4:$R$116,17,0)</f>
        <v>0</v>
      </c>
      <c r="J176" s="66"/>
      <c r="K176" s="66"/>
      <c r="L176" s="66"/>
      <c r="M176" s="67">
        <f>VLOOKUP(B176,'fixed cost'!$B$4:$H$104,7,0)</f>
        <v>1.0459097583536401</v>
      </c>
      <c r="N176" s="66"/>
      <c r="O176" s="67">
        <f t="shared" si="28"/>
        <v>5.7794909231615712</v>
      </c>
      <c r="Q176" s="119">
        <v>4.6669999999999998</v>
      </c>
      <c r="R176" s="188">
        <f t="shared" si="29"/>
        <v>-2.2999999999999687E-2</v>
      </c>
      <c r="S176" s="189">
        <f t="shared" si="30"/>
        <v>-4.928219412899012E-3</v>
      </c>
    </row>
    <row r="177" spans="1:19" s="119" customFormat="1" ht="15.75" customHeight="1" x14ac:dyDescent="0.25">
      <c r="A177" s="127">
        <f t="shared" si="34"/>
        <v>153</v>
      </c>
      <c r="B177" s="4" t="s">
        <v>135</v>
      </c>
      <c r="C177" s="1">
        <v>4.6859999999999999</v>
      </c>
      <c r="D177" s="1">
        <v>-5.9900000000000002E-2</v>
      </c>
      <c r="E177" s="1">
        <f t="shared" ref="E177:E183" si="36">C177+D177</f>
        <v>4.6261000000000001</v>
      </c>
      <c r="F177" s="7">
        <f t="shared" si="33"/>
        <v>3.1600000000000003E-2</v>
      </c>
      <c r="G177" s="1">
        <f t="shared" si="31"/>
        <v>4.777054935976869</v>
      </c>
      <c r="H177" s="2"/>
      <c r="I177" s="1">
        <f>VLOOKUP(B177,'fixed cost'!$B$4:$R$116,17,0)</f>
        <v>0</v>
      </c>
      <c r="J177" s="2"/>
      <c r="K177" s="2"/>
      <c r="L177" s="2"/>
      <c r="M177" s="2"/>
      <c r="N177" s="2"/>
      <c r="O177" s="1">
        <f t="shared" si="28"/>
        <v>4.777054935976869</v>
      </c>
      <c r="Q177" s="119">
        <v>4.7080000000000002</v>
      </c>
      <c r="R177" s="188">
        <f t="shared" si="29"/>
        <v>-2.2000000000000242E-2</v>
      </c>
      <c r="S177" s="189">
        <f t="shared" si="30"/>
        <v>-4.6728971962617331E-3</v>
      </c>
    </row>
    <row r="178" spans="1:19" s="119" customFormat="1" ht="15.75" customHeight="1" x14ac:dyDescent="0.25">
      <c r="A178" s="127">
        <f t="shared" si="34"/>
        <v>154</v>
      </c>
      <c r="B178" s="46" t="s">
        <v>135</v>
      </c>
      <c r="C178" s="67">
        <f>C177</f>
        <v>4.6859999999999999</v>
      </c>
      <c r="D178" s="67">
        <f>D177</f>
        <v>-5.9900000000000002E-2</v>
      </c>
      <c r="E178" s="67">
        <f t="shared" si="36"/>
        <v>4.6261000000000001</v>
      </c>
      <c r="F178" s="184">
        <f t="shared" si="33"/>
        <v>3.1600000000000003E-2</v>
      </c>
      <c r="G178" s="67">
        <f t="shared" si="31"/>
        <v>4.777054935976869</v>
      </c>
      <c r="H178" s="66"/>
      <c r="I178" s="67">
        <f>VLOOKUP(B178,'fixed cost'!$B$4:$R$116,17,0)</f>
        <v>0</v>
      </c>
      <c r="J178" s="66"/>
      <c r="K178" s="66"/>
      <c r="L178" s="66"/>
      <c r="M178" s="67">
        <f>VLOOKUP(B178,'fixed cost'!$B$4:$H$104,7,0)</f>
        <v>1.1206832154238848</v>
      </c>
      <c r="N178" s="66"/>
      <c r="O178" s="67">
        <f t="shared" si="28"/>
        <v>5.8977381514007536</v>
      </c>
      <c r="Q178" s="119">
        <v>4.7080000000000002</v>
      </c>
      <c r="R178" s="188">
        <f t="shared" si="29"/>
        <v>-2.2000000000000242E-2</v>
      </c>
      <c r="S178" s="189">
        <f t="shared" si="30"/>
        <v>-4.6728971962617331E-3</v>
      </c>
    </row>
    <row r="179" spans="1:19" s="119" customFormat="1" ht="15.75" customHeight="1" x14ac:dyDescent="0.25">
      <c r="A179" s="127">
        <f t="shared" si="34"/>
        <v>155</v>
      </c>
      <c r="B179" s="4" t="s">
        <v>133</v>
      </c>
      <c r="C179" s="1">
        <v>4.6440000000000001</v>
      </c>
      <c r="D179" s="1">
        <v>-0.06</v>
      </c>
      <c r="E179" s="1">
        <f t="shared" si="36"/>
        <v>4.5840000000000005</v>
      </c>
      <c r="F179" s="7">
        <f t="shared" si="33"/>
        <v>3.1600000000000003E-2</v>
      </c>
      <c r="G179" s="1">
        <f t="shared" si="31"/>
        <v>4.7335811648079309</v>
      </c>
      <c r="H179" s="2"/>
      <c r="I179" s="1">
        <f>VLOOKUP(B179,'fixed cost'!$B$4:$R$116,17,0)</f>
        <v>0</v>
      </c>
      <c r="J179" s="2"/>
      <c r="K179" s="2"/>
      <c r="L179" s="2"/>
      <c r="M179" s="2"/>
      <c r="N179" s="2"/>
      <c r="O179" s="1">
        <f t="shared" si="28"/>
        <v>4.7335811648079309</v>
      </c>
      <c r="Q179" s="119">
        <v>4.6669999999999998</v>
      </c>
      <c r="R179" s="188">
        <f t="shared" si="29"/>
        <v>-2.2999999999999687E-2</v>
      </c>
      <c r="S179" s="189">
        <f t="shared" si="30"/>
        <v>-4.928219412899012E-3</v>
      </c>
    </row>
    <row r="180" spans="1:19" s="119" customFormat="1" ht="15.75" customHeight="1" x14ac:dyDescent="0.25">
      <c r="A180" s="127">
        <f t="shared" si="34"/>
        <v>156</v>
      </c>
      <c r="B180" s="46" t="s">
        <v>133</v>
      </c>
      <c r="C180" s="67">
        <f>C179</f>
        <v>4.6440000000000001</v>
      </c>
      <c r="D180" s="67">
        <f>D179</f>
        <v>-0.06</v>
      </c>
      <c r="E180" s="67">
        <f t="shared" si="36"/>
        <v>4.5840000000000005</v>
      </c>
      <c r="F180" s="184">
        <f t="shared" si="33"/>
        <v>3.1600000000000003E-2</v>
      </c>
      <c r="G180" s="67">
        <f t="shared" si="31"/>
        <v>4.7335811648079309</v>
      </c>
      <c r="H180" s="66"/>
      <c r="I180" s="67">
        <f>VLOOKUP(B180,'fixed cost'!$B$4:$R$116,17,0)</f>
        <v>0</v>
      </c>
      <c r="J180" s="66"/>
      <c r="K180" s="66"/>
      <c r="L180" s="66"/>
      <c r="M180" s="67">
        <f>VLOOKUP(B180,'fixed cost'!$B$4:$H$104,7,0)</f>
        <v>1.2090519383025429</v>
      </c>
      <c r="N180" s="66"/>
      <c r="O180" s="67">
        <f t="shared" si="28"/>
        <v>5.9426331031104738</v>
      </c>
      <c r="Q180" s="119">
        <v>4.6669999999999998</v>
      </c>
      <c r="R180" s="188">
        <f t="shared" si="29"/>
        <v>-2.2999999999999687E-2</v>
      </c>
      <c r="S180" s="189">
        <f t="shared" si="30"/>
        <v>-4.928219412899012E-3</v>
      </c>
    </row>
    <row r="181" spans="1:19" ht="15.75" customHeight="1" x14ac:dyDescent="0.25">
      <c r="A181" s="127">
        <f t="shared" si="34"/>
        <v>157</v>
      </c>
      <c r="B181" s="4" t="s">
        <v>153</v>
      </c>
      <c r="C181" s="1">
        <v>4.3769999999999998</v>
      </c>
      <c r="D181" s="1">
        <v>-5.5989999999999998E-2</v>
      </c>
      <c r="E181" s="1">
        <f t="shared" si="36"/>
        <v>4.3210099999999994</v>
      </c>
      <c r="F181" s="7">
        <f t="shared" si="33"/>
        <v>3.1600000000000003E-2</v>
      </c>
      <c r="G181" s="1">
        <f t="shared" si="31"/>
        <v>4.4620095002065252</v>
      </c>
      <c r="H181" s="2"/>
      <c r="I181" s="1">
        <f>VLOOKUP(B181,'fixed cost'!$B$4:$R$116,17,0)</f>
        <v>0</v>
      </c>
      <c r="J181" s="2"/>
      <c r="K181" s="2"/>
      <c r="L181" s="2"/>
      <c r="M181" s="2"/>
      <c r="N181" s="2"/>
      <c r="O181" s="1">
        <f t="shared" si="28"/>
        <v>4.4620095002065252</v>
      </c>
      <c r="Q181" s="3">
        <v>4.399</v>
      </c>
      <c r="R181" s="188">
        <f t="shared" si="29"/>
        <v>-2.2000000000000242E-2</v>
      </c>
      <c r="S181" s="189">
        <f t="shared" si="30"/>
        <v>-5.0011366219595912E-3</v>
      </c>
    </row>
    <row r="182" spans="1:19" s="27" customFormat="1" ht="15.75" customHeight="1" x14ac:dyDescent="0.25">
      <c r="A182" s="127">
        <f t="shared" si="34"/>
        <v>158</v>
      </c>
      <c r="B182" s="46" t="s">
        <v>153</v>
      </c>
      <c r="C182" s="67">
        <f>C181</f>
        <v>4.3769999999999998</v>
      </c>
      <c r="D182" s="67">
        <f>D181</f>
        <v>-5.5989999999999998E-2</v>
      </c>
      <c r="E182" s="67">
        <f t="shared" si="36"/>
        <v>4.3210099999999994</v>
      </c>
      <c r="F182" s="184">
        <f t="shared" si="33"/>
        <v>3.1600000000000003E-2</v>
      </c>
      <c r="G182" s="67">
        <f t="shared" si="31"/>
        <v>4.4620095002065252</v>
      </c>
      <c r="H182" s="66"/>
      <c r="I182" s="67">
        <f>VLOOKUP(B182,'fixed cost'!$B$4:$R$116,17,0)</f>
        <v>0</v>
      </c>
      <c r="J182" s="66"/>
      <c r="K182" s="66"/>
      <c r="L182" s="66"/>
      <c r="M182" s="67">
        <f>VLOOKUP(B182,'fixed cost'!$B$4:$H$104,7,0)</f>
        <v>1.6577600990616079</v>
      </c>
      <c r="N182" s="66"/>
      <c r="O182" s="67">
        <f t="shared" si="28"/>
        <v>6.1197695992681336</v>
      </c>
      <c r="Q182" s="27">
        <v>4.399</v>
      </c>
      <c r="R182" s="188">
        <f t="shared" si="29"/>
        <v>-2.2000000000000242E-2</v>
      </c>
      <c r="S182" s="189">
        <f t="shared" si="30"/>
        <v>-5.0011366219595912E-3</v>
      </c>
    </row>
    <row r="183" spans="1:19" s="119" customFormat="1" ht="15.75" customHeight="1" x14ac:dyDescent="0.25">
      <c r="A183" s="127">
        <f t="shared" si="34"/>
        <v>159</v>
      </c>
      <c r="B183" s="97" t="s">
        <v>145</v>
      </c>
      <c r="C183" s="98">
        <v>2.13</v>
      </c>
      <c r="D183" s="98"/>
      <c r="E183" s="98">
        <f t="shared" si="36"/>
        <v>2.13</v>
      </c>
      <c r="F183" s="172">
        <f t="shared" si="33"/>
        <v>3.1600000000000003E-2</v>
      </c>
      <c r="G183" s="98">
        <f t="shared" si="31"/>
        <v>2.1995043370508052</v>
      </c>
      <c r="H183" s="96"/>
      <c r="I183" s="98">
        <f>VLOOKUP(B183,'fixed cost'!$B$4:$R$116,17,0)</f>
        <v>0</v>
      </c>
      <c r="J183" s="96"/>
      <c r="K183" s="96"/>
      <c r="L183" s="96"/>
      <c r="M183" s="96"/>
      <c r="N183" s="96"/>
      <c r="O183" s="98">
        <f t="shared" si="28"/>
        <v>2.1995043370508052</v>
      </c>
      <c r="Q183" s="119">
        <v>2.13</v>
      </c>
      <c r="R183" s="188">
        <f t="shared" si="29"/>
        <v>0</v>
      </c>
      <c r="S183" s="189">
        <f t="shared" si="30"/>
        <v>0</v>
      </c>
    </row>
    <row r="184" spans="1:19" ht="15.75" customHeight="1" x14ac:dyDescent="0.25">
      <c r="A184" s="12"/>
      <c r="B184" s="38"/>
      <c r="C184" s="69"/>
      <c r="D184" s="118"/>
      <c r="E184" s="69"/>
      <c r="F184" s="70"/>
      <c r="G184" s="69"/>
      <c r="H184" s="12"/>
      <c r="I184" s="12"/>
      <c r="J184" s="12"/>
      <c r="K184" s="12"/>
      <c r="L184" s="12"/>
      <c r="M184" s="12"/>
      <c r="N184" s="12"/>
      <c r="O184" s="69"/>
    </row>
    <row r="185" spans="1:19" ht="15.75" customHeight="1" x14ac:dyDescent="0.25">
      <c r="A185" s="12">
        <v>1</v>
      </c>
      <c r="B185" s="38" t="s">
        <v>264</v>
      </c>
      <c r="C185" s="123"/>
      <c r="D185" s="123"/>
      <c r="E185" s="123"/>
      <c r="F185" s="123"/>
      <c r="G185" s="123"/>
      <c r="H185" s="123"/>
      <c r="I185" s="123"/>
      <c r="J185" s="123"/>
      <c r="K185" s="123"/>
      <c r="L185" s="123"/>
      <c r="M185" s="123"/>
      <c r="N185" s="123"/>
      <c r="O185" s="123"/>
    </row>
    <row r="186" spans="1:19" x14ac:dyDescent="0.25">
      <c r="A186" s="12">
        <v>2</v>
      </c>
      <c r="B186" s="38" t="s">
        <v>163</v>
      </c>
      <c r="C186" s="38"/>
      <c r="D186" s="38"/>
      <c r="E186" s="38"/>
      <c r="F186" s="38"/>
      <c r="G186" s="38"/>
      <c r="H186" s="38"/>
      <c r="I186" s="38"/>
      <c r="J186" s="12"/>
      <c r="K186" s="38"/>
      <c r="L186" s="38"/>
      <c r="M186" s="38"/>
      <c r="N186" s="38"/>
      <c r="O186" s="38"/>
    </row>
    <row r="187" spans="1:19" s="88" customFormat="1" x14ac:dyDescent="0.25">
      <c r="A187" s="12">
        <v>3</v>
      </c>
      <c r="B187" s="244" t="s">
        <v>231</v>
      </c>
      <c r="C187" s="244"/>
      <c r="D187" s="244"/>
      <c r="E187" s="244"/>
      <c r="F187" s="244"/>
      <c r="G187" s="244"/>
      <c r="H187" s="244"/>
      <c r="I187" s="244"/>
      <c r="J187" s="244"/>
      <c r="K187" s="244"/>
      <c r="L187" s="244"/>
      <c r="M187" s="244"/>
      <c r="N187" s="244"/>
      <c r="O187" s="244"/>
    </row>
    <row r="188" spans="1:19" s="88" customFormat="1" x14ac:dyDescent="0.25">
      <c r="A188" s="12">
        <f>A187+1</f>
        <v>4</v>
      </c>
      <c r="B188" s="88" t="s">
        <v>238</v>
      </c>
    </row>
    <row r="189" spans="1:19" s="88" customFormat="1" x14ac:dyDescent="0.25">
      <c r="A189" s="12">
        <f>A198+1</f>
        <v>6</v>
      </c>
      <c r="B189" s="86" t="s">
        <v>254</v>
      </c>
      <c r="C189" s="87"/>
      <c r="D189" s="86"/>
      <c r="E189" s="87"/>
      <c r="F189" s="86"/>
      <c r="G189" s="86"/>
      <c r="H189" s="86"/>
      <c r="I189" s="86"/>
      <c r="J189" s="87"/>
      <c r="K189" s="86"/>
      <c r="L189" s="86"/>
      <c r="M189" s="86"/>
      <c r="N189" s="86"/>
      <c r="O189" s="86"/>
    </row>
    <row r="190" spans="1:19" s="88" customFormat="1" x14ac:dyDescent="0.25">
      <c r="A190" s="12">
        <v>7</v>
      </c>
      <c r="B190" s="3" t="s">
        <v>247</v>
      </c>
      <c r="C190" s="87"/>
      <c r="D190" s="86"/>
      <c r="E190" s="87"/>
      <c r="F190" s="86"/>
      <c r="G190" s="86"/>
      <c r="H190" s="86"/>
      <c r="I190" s="86"/>
      <c r="J190" s="87"/>
      <c r="K190" s="86"/>
      <c r="L190" s="86"/>
      <c r="M190" s="86"/>
      <c r="N190" s="86"/>
      <c r="O190" s="86"/>
    </row>
    <row r="191" spans="1:19" s="88" customFormat="1" ht="31.5" customHeight="1" x14ac:dyDescent="0.25">
      <c r="A191" s="12">
        <v>8</v>
      </c>
      <c r="B191" s="244" t="s">
        <v>263</v>
      </c>
      <c r="C191" s="244"/>
      <c r="D191" s="244"/>
      <c r="E191" s="244"/>
      <c r="F191" s="244"/>
      <c r="G191" s="244"/>
      <c r="H191" s="244"/>
      <c r="I191" s="244"/>
      <c r="J191" s="244"/>
      <c r="K191" s="244"/>
      <c r="L191" s="244"/>
      <c r="M191" s="244"/>
      <c r="N191" s="244"/>
      <c r="O191" s="244"/>
    </row>
    <row r="192" spans="1:19" s="88" customFormat="1" ht="18.75" customHeight="1" x14ac:dyDescent="0.25">
      <c r="A192" s="12"/>
      <c r="B192" s="244" t="s">
        <v>265</v>
      </c>
      <c r="C192" s="244"/>
      <c r="D192" s="244"/>
      <c r="E192" s="244"/>
      <c r="F192" s="244"/>
      <c r="G192" s="244"/>
      <c r="H192" s="244"/>
      <c r="I192" s="244"/>
      <c r="J192" s="244"/>
      <c r="K192" s="244"/>
      <c r="L192" s="244"/>
      <c r="M192" s="244"/>
      <c r="N192" s="244"/>
      <c r="O192" s="244"/>
    </row>
    <row r="193" spans="1:15" s="88" customFormat="1" x14ac:dyDescent="0.25">
      <c r="A193" s="12">
        <v>9</v>
      </c>
      <c r="B193" s="244" t="s">
        <v>259</v>
      </c>
      <c r="C193" s="244"/>
      <c r="D193" s="244"/>
      <c r="E193" s="244"/>
      <c r="F193" s="244"/>
      <c r="G193" s="244"/>
      <c r="H193" s="244"/>
      <c r="I193" s="244"/>
      <c r="J193" s="244"/>
      <c r="K193" s="244"/>
      <c r="L193" s="244"/>
      <c r="M193" s="244"/>
      <c r="N193" s="244"/>
      <c r="O193" s="244"/>
    </row>
    <row r="194" spans="1:15" s="88" customFormat="1" x14ac:dyDescent="0.25">
      <c r="A194" s="12">
        <v>10</v>
      </c>
      <c r="B194" s="244" t="s">
        <v>258</v>
      </c>
      <c r="C194" s="244"/>
      <c r="D194" s="244"/>
      <c r="E194" s="244"/>
      <c r="F194" s="244"/>
      <c r="G194" s="244"/>
      <c r="H194" s="244"/>
      <c r="I194" s="244"/>
      <c r="J194" s="244"/>
      <c r="K194" s="244"/>
      <c r="L194" s="244"/>
      <c r="M194" s="244"/>
      <c r="N194" s="244"/>
      <c r="O194" s="244"/>
    </row>
    <row r="195" spans="1:15" s="88" customFormat="1" x14ac:dyDescent="0.25">
      <c r="A195" s="12">
        <v>11</v>
      </c>
      <c r="B195" s="244" t="s">
        <v>262</v>
      </c>
      <c r="C195" s="244"/>
      <c r="D195" s="244"/>
      <c r="E195" s="244"/>
      <c r="F195" s="244"/>
      <c r="G195" s="244"/>
      <c r="H195" s="244"/>
      <c r="I195" s="244"/>
      <c r="J195" s="244"/>
      <c r="K195" s="244"/>
      <c r="L195" s="244"/>
      <c r="M195" s="244"/>
      <c r="N195" s="244"/>
      <c r="O195" s="244"/>
    </row>
    <row r="196" spans="1:15" s="88" customFormat="1" ht="26.25" customHeight="1" x14ac:dyDescent="0.25">
      <c r="A196" s="12">
        <v>11</v>
      </c>
      <c r="B196" s="244" t="s">
        <v>256</v>
      </c>
      <c r="C196" s="244"/>
      <c r="D196" s="244"/>
      <c r="E196" s="244"/>
      <c r="F196" s="244"/>
      <c r="G196" s="244"/>
      <c r="H196" s="244"/>
      <c r="I196" s="244"/>
      <c r="J196" s="244"/>
      <c r="K196" s="244"/>
      <c r="L196" s="244"/>
      <c r="M196" s="244"/>
      <c r="N196" s="244"/>
      <c r="O196" s="244"/>
    </row>
    <row r="197" spans="1:15" s="88" customFormat="1" ht="18.75" customHeight="1" x14ac:dyDescent="0.25">
      <c r="A197" s="12">
        <v>12</v>
      </c>
      <c r="B197" s="244" t="s">
        <v>260</v>
      </c>
      <c r="C197" s="244"/>
      <c r="D197" s="244"/>
      <c r="E197" s="244"/>
      <c r="F197" s="244"/>
      <c r="G197" s="244"/>
      <c r="H197" s="244"/>
      <c r="I197" s="244"/>
      <c r="J197" s="244"/>
      <c r="K197" s="244"/>
      <c r="L197" s="244"/>
      <c r="M197" s="244"/>
      <c r="N197" s="244"/>
      <c r="O197" s="244"/>
    </row>
    <row r="198" spans="1:15" s="88" customFormat="1" x14ac:dyDescent="0.25">
      <c r="A198" s="12">
        <v>5</v>
      </c>
      <c r="B198" s="244" t="s">
        <v>232</v>
      </c>
      <c r="C198" s="244"/>
      <c r="D198" s="244"/>
      <c r="E198" s="244"/>
      <c r="F198" s="244"/>
      <c r="G198" s="244"/>
      <c r="H198" s="244"/>
      <c r="I198" s="244"/>
      <c r="J198" s="244"/>
      <c r="K198" s="244"/>
      <c r="L198" s="244"/>
      <c r="M198" s="244"/>
      <c r="N198" s="244"/>
      <c r="O198" s="244"/>
    </row>
    <row r="199" spans="1:15" s="88" customFormat="1" ht="26.25" customHeight="1" x14ac:dyDescent="0.25">
      <c r="A199" s="12"/>
      <c r="B199" s="186"/>
      <c r="C199" s="186"/>
      <c r="D199" s="186"/>
      <c r="E199" s="186"/>
      <c r="F199" s="186"/>
      <c r="G199" s="186"/>
      <c r="H199" s="186"/>
      <c r="I199" s="186"/>
      <c r="J199" s="186"/>
      <c r="K199" s="186"/>
      <c r="L199" s="186"/>
      <c r="M199" s="186"/>
      <c r="N199" s="186"/>
      <c r="O199" s="186"/>
    </row>
    <row r="200" spans="1:15" s="88" customFormat="1" ht="26.25" customHeight="1" x14ac:dyDescent="0.25">
      <c r="A200" s="12">
        <v>11</v>
      </c>
      <c r="B200" s="244" t="s">
        <v>257</v>
      </c>
      <c r="C200" s="244"/>
      <c r="D200" s="244"/>
      <c r="E200" s="244"/>
      <c r="F200" s="244"/>
      <c r="G200" s="244"/>
      <c r="H200" s="244"/>
      <c r="I200" s="244"/>
      <c r="J200" s="244"/>
      <c r="K200" s="244"/>
      <c r="L200" s="244"/>
      <c r="M200" s="244"/>
      <c r="N200" s="244"/>
      <c r="O200" s="244"/>
    </row>
    <row r="201" spans="1:15" s="88" customFormat="1" x14ac:dyDescent="0.25">
      <c r="A201" s="12" t="e">
        <f>#REF!+1</f>
        <v>#REF!</v>
      </c>
      <c r="B201" s="86" t="s">
        <v>180</v>
      </c>
      <c r="C201" s="87"/>
      <c r="D201" s="86"/>
      <c r="E201" s="87"/>
      <c r="F201" s="86"/>
      <c r="G201" s="86"/>
      <c r="H201" s="86"/>
      <c r="I201" s="86"/>
      <c r="J201" s="87"/>
      <c r="K201" s="86"/>
      <c r="L201" s="86"/>
      <c r="M201" s="86"/>
      <c r="N201" s="86"/>
      <c r="O201" s="86"/>
    </row>
    <row r="202" spans="1:15" s="88" customFormat="1" x14ac:dyDescent="0.25">
      <c r="A202" s="12" t="e">
        <f t="shared" ref="A202:A206" si="37">A201+1</f>
        <v>#REF!</v>
      </c>
      <c r="B202" s="86" t="s">
        <v>183</v>
      </c>
      <c r="C202" s="87"/>
      <c r="D202" s="86"/>
      <c r="E202" s="87"/>
      <c r="F202" s="86"/>
      <c r="G202" s="86"/>
      <c r="H202" s="86"/>
      <c r="I202" s="86"/>
      <c r="J202" s="87"/>
      <c r="K202" s="86"/>
      <c r="L202" s="86"/>
      <c r="M202" s="86"/>
      <c r="N202" s="86"/>
      <c r="O202" s="86"/>
    </row>
    <row r="203" spans="1:15" s="88" customFormat="1" x14ac:dyDescent="0.25">
      <c r="A203" s="12" t="e">
        <f t="shared" si="37"/>
        <v>#REF!</v>
      </c>
      <c r="B203" s="88" t="s">
        <v>176</v>
      </c>
      <c r="C203" s="87"/>
      <c r="D203" s="86"/>
      <c r="E203" s="87"/>
      <c r="F203" s="86"/>
      <c r="G203" s="86"/>
      <c r="H203" s="86"/>
      <c r="I203" s="86"/>
      <c r="J203" s="87"/>
      <c r="K203" s="86"/>
      <c r="L203" s="86"/>
      <c r="M203" s="86"/>
      <c r="N203" s="86"/>
      <c r="O203" s="86"/>
    </row>
    <row r="204" spans="1:15" x14ac:dyDescent="0.25">
      <c r="A204" s="12" t="e">
        <f t="shared" si="37"/>
        <v>#REF!</v>
      </c>
      <c r="B204" s="3" t="s">
        <v>173</v>
      </c>
    </row>
    <row r="205" spans="1:15" ht="24.75" customHeight="1" x14ac:dyDescent="0.25">
      <c r="A205" s="12" t="e">
        <f t="shared" si="37"/>
        <v>#REF!</v>
      </c>
      <c r="B205" s="245" t="s">
        <v>171</v>
      </c>
      <c r="C205" s="245"/>
      <c r="D205" s="245"/>
      <c r="E205" s="245"/>
      <c r="F205" s="245"/>
      <c r="G205" s="245"/>
      <c r="H205" s="245"/>
      <c r="I205" s="245"/>
      <c r="J205" s="245"/>
      <c r="K205" s="245"/>
      <c r="L205" s="245"/>
      <c r="M205" s="245"/>
      <c r="N205" s="245"/>
      <c r="O205" s="245"/>
    </row>
    <row r="206" spans="1:15" ht="27" customHeight="1" x14ac:dyDescent="0.25">
      <c r="A206" s="12" t="e">
        <f t="shared" si="37"/>
        <v>#REF!</v>
      </c>
      <c r="B206" s="245" t="s">
        <v>170</v>
      </c>
      <c r="C206" s="245"/>
      <c r="D206" s="245"/>
      <c r="E206" s="245"/>
      <c r="F206" s="245"/>
      <c r="G206" s="245"/>
      <c r="H206" s="245"/>
      <c r="I206" s="245"/>
      <c r="J206" s="245"/>
      <c r="K206" s="245"/>
      <c r="L206" s="245"/>
      <c r="M206" s="245"/>
      <c r="N206" s="245"/>
      <c r="O206" s="245"/>
    </row>
    <row r="207" spans="1:15" x14ac:dyDescent="0.25">
      <c r="B207" s="3" t="s">
        <v>194</v>
      </c>
    </row>
    <row r="209" spans="1:15" x14ac:dyDescent="0.25">
      <c r="B209" s="3" t="s">
        <v>184</v>
      </c>
    </row>
    <row r="211" spans="1:15" x14ac:dyDescent="0.25">
      <c r="E211" s="6" t="s">
        <v>185</v>
      </c>
      <c r="F211" s="3">
        <v>2.5830000000000002</v>
      </c>
    </row>
    <row r="212" spans="1:15" x14ac:dyDescent="0.25">
      <c r="E212" s="6" t="s">
        <v>186</v>
      </c>
      <c r="F212" s="3">
        <v>2.9510000000000001</v>
      </c>
    </row>
    <row r="213" spans="1:15" x14ac:dyDescent="0.25">
      <c r="B213" s="244" t="s">
        <v>230</v>
      </c>
      <c r="C213" s="244"/>
      <c r="D213" s="244"/>
      <c r="E213" s="244"/>
      <c r="F213" s="244"/>
      <c r="G213" s="244"/>
      <c r="H213" s="244"/>
      <c r="I213" s="244"/>
      <c r="J213" s="244"/>
      <c r="K213" s="244"/>
      <c r="L213" s="244"/>
      <c r="M213" s="244"/>
      <c r="N213" s="244"/>
      <c r="O213" s="244"/>
    </row>
    <row r="214" spans="1:15" s="88" customFormat="1" x14ac:dyDescent="0.25">
      <c r="A214" s="12">
        <v>7</v>
      </c>
      <c r="B214" s="86" t="s">
        <v>241</v>
      </c>
      <c r="C214" s="87"/>
      <c r="D214" s="86"/>
      <c r="E214" s="87"/>
      <c r="F214" s="86"/>
      <c r="G214" s="86"/>
      <c r="H214" s="86"/>
      <c r="I214" s="86"/>
      <c r="J214" s="87"/>
      <c r="K214" s="86"/>
      <c r="L214" s="86"/>
      <c r="M214" s="86"/>
      <c r="N214" s="86"/>
      <c r="O214" s="86"/>
    </row>
    <row r="215" spans="1:15" s="88" customFormat="1" x14ac:dyDescent="0.25">
      <c r="A215" s="12">
        <v>8</v>
      </c>
      <c r="B215" s="86" t="s">
        <v>253</v>
      </c>
      <c r="C215" s="87"/>
      <c r="D215" s="86"/>
      <c r="E215" s="87"/>
      <c r="F215" s="86"/>
      <c r="G215" s="86"/>
      <c r="H215" s="86"/>
      <c r="I215" s="86"/>
      <c r="J215" s="87"/>
      <c r="K215" s="86"/>
      <c r="L215" s="86"/>
      <c r="M215" s="86"/>
      <c r="N215" s="86"/>
      <c r="O215" s="86"/>
    </row>
    <row r="216" spans="1:15" s="88" customFormat="1" x14ac:dyDescent="0.25">
      <c r="A216" s="12">
        <v>9</v>
      </c>
      <c r="B216" s="86" t="s">
        <v>243</v>
      </c>
      <c r="C216" s="87"/>
      <c r="D216" s="86"/>
      <c r="E216" s="87"/>
      <c r="F216" s="86"/>
      <c r="G216" s="86"/>
      <c r="H216" s="86"/>
      <c r="I216" s="86"/>
      <c r="J216" s="87"/>
      <c r="K216" s="86"/>
      <c r="L216" s="86"/>
      <c r="M216" s="86"/>
      <c r="N216" s="86"/>
      <c r="O216" s="86"/>
    </row>
    <row r="217" spans="1:15" x14ac:dyDescent="0.25">
      <c r="B217" s="86" t="s">
        <v>255</v>
      </c>
    </row>
  </sheetData>
  <autoFilter ref="A4:O183"/>
  <mergeCells count="28">
    <mergeCell ref="B213:O213"/>
    <mergeCell ref="B191:O191"/>
    <mergeCell ref="B192:O192"/>
    <mergeCell ref="B193:O193"/>
    <mergeCell ref="B194:O194"/>
    <mergeCell ref="B195:O195"/>
    <mergeCell ref="B196:O196"/>
    <mergeCell ref="B197:O197"/>
    <mergeCell ref="B198:O198"/>
    <mergeCell ref="B200:O200"/>
    <mergeCell ref="B205:O205"/>
    <mergeCell ref="B206:O206"/>
    <mergeCell ref="B187:O187"/>
    <mergeCell ref="A1:O1"/>
    <mergeCell ref="B2:B4"/>
    <mergeCell ref="C2:C4"/>
    <mergeCell ref="D2:D4"/>
    <mergeCell ref="E2:E4"/>
    <mergeCell ref="F2:F4"/>
    <mergeCell ref="G2:G3"/>
    <mergeCell ref="H2:H4"/>
    <mergeCell ref="I2:I4"/>
    <mergeCell ref="J2:J4"/>
    <mergeCell ref="K2:K4"/>
    <mergeCell ref="L2:L4"/>
    <mergeCell ref="M2:M4"/>
    <mergeCell ref="N2:N4"/>
    <mergeCell ref="O2:O4"/>
  </mergeCells>
  <printOptions horizontalCentered="1"/>
  <pageMargins left="0.14000000000000001" right="9.8425196850393706E-2" top="0.11811023622047245" bottom="0.15748031496062992" header="0" footer="0"/>
  <pageSetup paperSize="9" scale="87"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3"/>
  <sheetViews>
    <sheetView view="pageBreakPreview" zoomScaleSheetLayoutView="100" workbookViewId="0">
      <pane xSplit="2" ySplit="2" topLeftCell="C18" activePane="bottomRight" state="frozen"/>
      <selection activeCell="G11" sqref="G11"/>
      <selection pane="topRight" activeCell="G11" sqref="G11"/>
      <selection pane="bottomLeft" activeCell="G11" sqref="G11"/>
      <selection pane="bottomRight" activeCell="G11" sqref="G11"/>
    </sheetView>
  </sheetViews>
  <sheetFormatPr defaultColWidth="9.140625" defaultRowHeight="12.75" x14ac:dyDescent="0.25"/>
  <cols>
    <col min="1" max="1" width="9.140625" style="71"/>
    <col min="2" max="2" width="20.140625" style="72" customWidth="1"/>
    <col min="3" max="3" width="9.42578125" style="72" customWidth="1"/>
    <col min="4" max="4" width="8.5703125" style="72" customWidth="1"/>
    <col min="5" max="5" width="9.7109375" style="72" customWidth="1"/>
    <col min="6" max="6" width="10.28515625" style="72" customWidth="1"/>
    <col min="7" max="7" width="12.28515625" style="72" customWidth="1"/>
    <col min="8" max="8" width="11" style="72" customWidth="1"/>
    <col min="9" max="9" width="12.28515625" style="72" customWidth="1"/>
    <col min="10" max="10" width="11.5703125" style="72" customWidth="1"/>
    <col min="11" max="11" width="13.85546875" style="72" customWidth="1"/>
    <col min="12" max="12" width="8.7109375" style="72" hidden="1" customWidth="1"/>
    <col min="13" max="18" width="0" style="72" hidden="1" customWidth="1"/>
    <col min="19" max="19" width="11.85546875" style="72" hidden="1" customWidth="1"/>
    <col min="20" max="21" width="0" style="72" hidden="1" customWidth="1"/>
    <col min="22" max="16384" width="9.140625" style="72"/>
  </cols>
  <sheetData>
    <row r="1" spans="1:21" x14ac:dyDescent="0.25">
      <c r="K1" s="73" t="s">
        <v>110</v>
      </c>
    </row>
    <row r="2" spans="1:21" ht="120.75" customHeight="1" x14ac:dyDescent="0.25">
      <c r="A2" s="107" t="s">
        <v>71</v>
      </c>
      <c r="B2" s="107" t="s">
        <v>111</v>
      </c>
      <c r="C2" s="107" t="s">
        <v>112</v>
      </c>
      <c r="D2" s="108" t="s">
        <v>115</v>
      </c>
      <c r="E2" s="107" t="s">
        <v>116</v>
      </c>
      <c r="F2" s="108" t="s">
        <v>123</v>
      </c>
      <c r="G2" s="108" t="s">
        <v>124</v>
      </c>
      <c r="H2" s="108" t="s">
        <v>121</v>
      </c>
      <c r="I2" s="108" t="s">
        <v>125</v>
      </c>
      <c r="J2" s="108" t="s">
        <v>114</v>
      </c>
      <c r="K2" s="108" t="s">
        <v>122</v>
      </c>
      <c r="L2" s="75" t="s">
        <v>113</v>
      </c>
      <c r="R2" s="89" t="s">
        <v>118</v>
      </c>
    </row>
    <row r="3" spans="1:21" ht="15" x14ac:dyDescent="0.25">
      <c r="A3" s="109">
        <v>1</v>
      </c>
      <c r="B3" s="110" t="s">
        <v>24</v>
      </c>
      <c r="C3" s="111">
        <v>210</v>
      </c>
      <c r="D3" s="111">
        <v>9</v>
      </c>
      <c r="E3" s="111">
        <f>30+31+30+31+31+30+31+30+31+31+28</f>
        <v>334</v>
      </c>
      <c r="F3" s="112">
        <f>1047.2605+129.98+124.6125</f>
        <v>1301.8530000000001</v>
      </c>
      <c r="G3" s="112">
        <f t="shared" ref="G3:G33" si="0">(C3*(1-D3%)*24*1000*E3)/1000000</f>
        <v>1531.8576</v>
      </c>
      <c r="H3" s="113">
        <f t="shared" ref="H3:H33" si="1">F3/G3</f>
        <v>0.84985249281656472</v>
      </c>
      <c r="I3" s="112">
        <f t="shared" ref="I3:I33" si="2">(C3*(1-D3%)*0.85*24*1000*E3)/1000000</f>
        <v>1302.0789600000001</v>
      </c>
      <c r="J3" s="112">
        <f t="shared" ref="J3:J33" si="3">(C3*(1-D3%)*0.85*24*1000*365)/1000000</f>
        <v>1422.9305999999999</v>
      </c>
      <c r="K3" s="112">
        <f t="shared" ref="K3:K33" si="4">J3-F3</f>
        <v>121.07759999999985</v>
      </c>
      <c r="L3" s="77"/>
      <c r="M3" s="72">
        <v>9</v>
      </c>
      <c r="R3" s="72">
        <v>786.60625000000005</v>
      </c>
      <c r="S3" s="91">
        <v>131113000</v>
      </c>
      <c r="T3" s="72">
        <f>S3/1000000</f>
        <v>131.113</v>
      </c>
      <c r="U3" s="72">
        <f>R3+T3</f>
        <v>917.7192500000001</v>
      </c>
    </row>
    <row r="4" spans="1:21" ht="15" x14ac:dyDescent="0.25">
      <c r="A4" s="76">
        <v>2</v>
      </c>
      <c r="B4" s="4" t="s">
        <v>50</v>
      </c>
      <c r="C4" s="77">
        <v>830</v>
      </c>
      <c r="D4" s="77">
        <v>10</v>
      </c>
      <c r="E4" s="77">
        <f>30+31+30+31+31+30+31</f>
        <v>214</v>
      </c>
      <c r="F4" s="78">
        <v>212.8075</v>
      </c>
      <c r="G4" s="78">
        <f t="shared" si="0"/>
        <v>3836.5920000000001</v>
      </c>
      <c r="H4" s="79">
        <f t="shared" si="1"/>
        <v>5.5467847506328535E-2</v>
      </c>
      <c r="I4" s="78">
        <f t="shared" si="2"/>
        <v>3261.1032</v>
      </c>
      <c r="J4" s="78">
        <f t="shared" si="3"/>
        <v>5562.1620000000003</v>
      </c>
      <c r="K4" s="78">
        <f t="shared" si="4"/>
        <v>5349.3545000000004</v>
      </c>
      <c r="L4" s="77"/>
      <c r="M4" s="72">
        <v>10</v>
      </c>
    </row>
    <row r="5" spans="1:21" ht="15" x14ac:dyDescent="0.25">
      <c r="A5" s="76">
        <v>3</v>
      </c>
      <c r="B5" s="4" t="s">
        <v>60</v>
      </c>
      <c r="C5" s="77">
        <v>500</v>
      </c>
      <c r="D5" s="77">
        <v>8.5</v>
      </c>
      <c r="E5" s="77">
        <f>30+31+30+31+31+30+31</f>
        <v>214</v>
      </c>
      <c r="F5" s="78">
        <v>1236.2362499999999</v>
      </c>
      <c r="G5" s="78">
        <f t="shared" si="0"/>
        <v>2349.7199999999998</v>
      </c>
      <c r="H5" s="79">
        <f t="shared" si="1"/>
        <v>0.52612066544098868</v>
      </c>
      <c r="I5" s="78">
        <f t="shared" si="2"/>
        <v>1997.2619999999999</v>
      </c>
      <c r="J5" s="78">
        <f t="shared" si="3"/>
        <v>3406.5450000000001</v>
      </c>
      <c r="K5" s="78">
        <f t="shared" si="4"/>
        <v>2170.3087500000001</v>
      </c>
      <c r="L5" s="77"/>
      <c r="M5" s="72">
        <v>8.5</v>
      </c>
    </row>
    <row r="6" spans="1:21" ht="15" x14ac:dyDescent="0.25">
      <c r="A6" s="76">
        <v>4</v>
      </c>
      <c r="B6" s="4" t="s">
        <v>22</v>
      </c>
      <c r="C6" s="77">
        <v>840</v>
      </c>
      <c r="D6" s="77">
        <v>9</v>
      </c>
      <c r="E6" s="77">
        <f>30+31+30+31+31+30+31</f>
        <v>214</v>
      </c>
      <c r="F6" s="78">
        <v>1444.2037499999999</v>
      </c>
      <c r="G6" s="78">
        <f t="shared" si="0"/>
        <v>3925.9584</v>
      </c>
      <c r="H6" s="79">
        <f t="shared" si="1"/>
        <v>0.36786017651129466</v>
      </c>
      <c r="I6" s="78">
        <f t="shared" si="2"/>
        <v>3337.0646400000001</v>
      </c>
      <c r="J6" s="78">
        <f t="shared" si="3"/>
        <v>5691.7223999999997</v>
      </c>
      <c r="K6" s="78">
        <f t="shared" si="4"/>
        <v>4247.51865</v>
      </c>
      <c r="L6" s="77"/>
      <c r="M6" s="72">
        <v>9</v>
      </c>
      <c r="Q6" s="72">
        <v>31</v>
      </c>
    </row>
    <row r="7" spans="1:21" ht="15" x14ac:dyDescent="0.25">
      <c r="A7" s="102">
        <v>5</v>
      </c>
      <c r="B7" s="63" t="s">
        <v>25</v>
      </c>
      <c r="C7" s="103">
        <v>500</v>
      </c>
      <c r="D7" s="103">
        <v>6</v>
      </c>
      <c r="E7" s="103">
        <f>30+31+30+31+31+30+31+30</f>
        <v>244</v>
      </c>
      <c r="F7" s="104">
        <f>1565.87125+304.49875</f>
        <v>1870.37</v>
      </c>
      <c r="G7" s="104">
        <f t="shared" si="0"/>
        <v>2752.32</v>
      </c>
      <c r="H7" s="105">
        <f t="shared" si="1"/>
        <v>0.67956124287873498</v>
      </c>
      <c r="I7" s="104">
        <f t="shared" si="2"/>
        <v>2339.4720000000002</v>
      </c>
      <c r="J7" s="104">
        <f t="shared" si="3"/>
        <v>3499.62</v>
      </c>
      <c r="K7" s="104">
        <f t="shared" si="4"/>
        <v>1629.25</v>
      </c>
      <c r="L7" s="77"/>
      <c r="M7" s="72">
        <v>6</v>
      </c>
      <c r="N7" s="80">
        <f>J7/0.85</f>
        <v>4117.2</v>
      </c>
      <c r="O7" s="80">
        <f>N7*0.15</f>
        <v>617.57999999999993</v>
      </c>
    </row>
    <row r="8" spans="1:21" ht="15" x14ac:dyDescent="0.25">
      <c r="A8" s="76">
        <v>6</v>
      </c>
      <c r="B8" s="4" t="s">
        <v>54</v>
      </c>
      <c r="C8" s="77">
        <v>1200</v>
      </c>
      <c r="D8" s="77">
        <v>5.25</v>
      </c>
      <c r="E8" s="77">
        <f>30+31+30+31+31+30+31</f>
        <v>214</v>
      </c>
      <c r="F8" s="78">
        <v>819.72050000000002</v>
      </c>
      <c r="G8" s="78">
        <f t="shared" si="0"/>
        <v>5839.6319999999996</v>
      </c>
      <c r="H8" s="79">
        <f t="shared" si="1"/>
        <v>0.14037194467048611</v>
      </c>
      <c r="I8" s="78">
        <f t="shared" si="2"/>
        <v>4963.6872000000003</v>
      </c>
      <c r="J8" s="78">
        <f t="shared" si="3"/>
        <v>8466.1020000000008</v>
      </c>
      <c r="K8" s="78">
        <f t="shared" si="4"/>
        <v>7646.3815000000004</v>
      </c>
      <c r="L8" s="77"/>
      <c r="M8" s="72">
        <v>5.25</v>
      </c>
    </row>
    <row r="9" spans="1:21" ht="15" x14ac:dyDescent="0.25">
      <c r="A9" s="109">
        <v>2</v>
      </c>
      <c r="B9" s="110" t="s">
        <v>36</v>
      </c>
      <c r="C9" s="111">
        <v>481.32</v>
      </c>
      <c r="D9" s="111">
        <v>6.68</v>
      </c>
      <c r="E9" s="111">
        <f t="shared" ref="E9:E17" si="5">30+31+30+31+31+30+31+30+31+31+28</f>
        <v>334</v>
      </c>
      <c r="F9" s="114">
        <f>2719.791069+261.085199+283.218317+279.589242</f>
        <v>3543.6838269999998</v>
      </c>
      <c r="G9" s="112">
        <f t="shared" si="0"/>
        <v>3600.5292771839995</v>
      </c>
      <c r="H9" s="113">
        <f t="shared" si="1"/>
        <v>0.98421191835760913</v>
      </c>
      <c r="I9" s="112">
        <f t="shared" si="2"/>
        <v>3060.4498856064001</v>
      </c>
      <c r="J9" s="112">
        <f t="shared" si="3"/>
        <v>3344.503617504</v>
      </c>
      <c r="K9" s="112">
        <f t="shared" si="4"/>
        <v>-199.18020949599986</v>
      </c>
      <c r="L9" s="81">
        <v>84.60528641537536</v>
      </c>
      <c r="M9" s="72" t="e">
        <v>#N/A</v>
      </c>
      <c r="N9" s="80">
        <f>J9/0.85</f>
        <v>3934.7101382400001</v>
      </c>
      <c r="O9" s="80">
        <f>N9*0.15</f>
        <v>590.20652073600002</v>
      </c>
      <c r="R9" s="72">
        <v>1878.116121</v>
      </c>
      <c r="S9" s="90">
        <v>291778504</v>
      </c>
      <c r="T9" s="72">
        <f t="shared" ref="T9:T12" si="6">S9/1000000</f>
        <v>291.778504</v>
      </c>
      <c r="U9" s="72">
        <f t="shared" ref="U9:U12" si="7">R9+T9</f>
        <v>2169.8946249999999</v>
      </c>
    </row>
    <row r="10" spans="1:21" ht="15" x14ac:dyDescent="0.25">
      <c r="A10" s="109">
        <v>3</v>
      </c>
      <c r="B10" s="115" t="s">
        <v>37</v>
      </c>
      <c r="C10" s="111">
        <v>76.05</v>
      </c>
      <c r="D10" s="111">
        <v>5.75</v>
      </c>
      <c r="E10" s="111">
        <f t="shared" si="5"/>
        <v>334</v>
      </c>
      <c r="F10" s="114">
        <f>483.035872+50.639705+51.700596+28.068899</f>
        <v>613.44507199999998</v>
      </c>
      <c r="G10" s="112">
        <f t="shared" si="0"/>
        <v>574.56383400000016</v>
      </c>
      <c r="H10" s="113">
        <f t="shared" si="1"/>
        <v>1.06767087606144</v>
      </c>
      <c r="I10" s="112">
        <f t="shared" si="2"/>
        <v>488.37925890000002</v>
      </c>
      <c r="J10" s="112">
        <f t="shared" si="3"/>
        <v>533.70787275000009</v>
      </c>
      <c r="K10" s="112">
        <f t="shared" si="4"/>
        <v>-79.73719924999989</v>
      </c>
      <c r="L10" s="81">
        <v>93.923160449381854</v>
      </c>
      <c r="M10" s="72" t="e">
        <v>#N/A</v>
      </c>
      <c r="N10" s="80">
        <f>J10/0.85</f>
        <v>627.89161500000012</v>
      </c>
      <c r="O10" s="80">
        <f>N10*0.15</f>
        <v>94.183742250000009</v>
      </c>
      <c r="R10" s="72">
        <v>327.47765299999998</v>
      </c>
      <c r="S10" s="90">
        <v>54206513</v>
      </c>
      <c r="T10" s="72">
        <f t="shared" si="6"/>
        <v>54.206513000000001</v>
      </c>
      <c r="U10" s="72">
        <f t="shared" si="7"/>
        <v>381.684166</v>
      </c>
    </row>
    <row r="11" spans="1:21" ht="15" x14ac:dyDescent="0.25">
      <c r="A11" s="109">
        <v>4</v>
      </c>
      <c r="B11" s="110" t="s">
        <v>29</v>
      </c>
      <c r="C11" s="111">
        <v>336.79</v>
      </c>
      <c r="D11" s="111">
        <v>5.75</v>
      </c>
      <c r="E11" s="111">
        <f t="shared" si="5"/>
        <v>334</v>
      </c>
      <c r="F11" s="116">
        <f>1663.529081+186.042185+225.785022+183.04401</f>
        <v>2258.400298</v>
      </c>
      <c r="G11" s="112">
        <f t="shared" si="0"/>
        <v>2544.4753931999999</v>
      </c>
      <c r="H11" s="113">
        <f t="shared" si="1"/>
        <v>0.88757010739246167</v>
      </c>
      <c r="I11" s="112">
        <f t="shared" si="2"/>
        <v>2162.8040842199998</v>
      </c>
      <c r="J11" s="112">
        <f t="shared" si="3"/>
        <v>2363.5433854499997</v>
      </c>
      <c r="K11" s="112">
        <f t="shared" si="4"/>
        <v>105.14308744999971</v>
      </c>
      <c r="L11" s="81">
        <v>89.175665423627805</v>
      </c>
      <c r="M11" s="72">
        <v>5.75</v>
      </c>
      <c r="N11" s="80">
        <f>J11/0.85</f>
        <v>2780.6392769999998</v>
      </c>
      <c r="O11" s="80">
        <f>N11*0.15</f>
        <v>417.09589154999998</v>
      </c>
      <c r="R11" s="72">
        <v>1316.1878090000002</v>
      </c>
      <c r="S11" s="90">
        <v>201438986</v>
      </c>
      <c r="T11" s="72">
        <f t="shared" si="6"/>
        <v>201.438986</v>
      </c>
      <c r="U11" s="72">
        <f t="shared" si="7"/>
        <v>1517.6267950000001</v>
      </c>
    </row>
    <row r="12" spans="1:21" ht="15" x14ac:dyDescent="0.25">
      <c r="A12" s="109">
        <v>5</v>
      </c>
      <c r="B12" s="110" t="s">
        <v>28</v>
      </c>
      <c r="C12" s="111">
        <v>186.88</v>
      </c>
      <c r="D12" s="111">
        <v>5.75</v>
      </c>
      <c r="E12" s="111">
        <f t="shared" si="5"/>
        <v>334</v>
      </c>
      <c r="F12" s="116">
        <f>1020.506715+123.53508+123.368341+56.360502</f>
        <v>1323.7706380000002</v>
      </c>
      <c r="G12" s="112">
        <f t="shared" si="0"/>
        <v>1411.8933503999999</v>
      </c>
      <c r="H12" s="113">
        <f t="shared" si="1"/>
        <v>0.93758543279842355</v>
      </c>
      <c r="I12" s="112">
        <f t="shared" si="2"/>
        <v>1200.1093478399996</v>
      </c>
      <c r="J12" s="112">
        <f t="shared" si="3"/>
        <v>1311.4967423999999</v>
      </c>
      <c r="K12" s="112">
        <f t="shared" si="4"/>
        <v>-12.273895600000287</v>
      </c>
      <c r="L12" s="81">
        <v>91.377737786351588</v>
      </c>
      <c r="M12" s="72">
        <v>5.75</v>
      </c>
      <c r="N12" s="80">
        <f>J12/0.85</f>
        <v>1542.9373439999999</v>
      </c>
      <c r="O12" s="80">
        <f>N12*0.15</f>
        <v>231.44060159999998</v>
      </c>
      <c r="R12" s="72">
        <v>764.37291900000002</v>
      </c>
      <c r="S12" s="90">
        <v>127467964</v>
      </c>
      <c r="T12" s="72">
        <f t="shared" si="6"/>
        <v>127.46796399999999</v>
      </c>
      <c r="U12" s="72">
        <f t="shared" si="7"/>
        <v>891.84088300000008</v>
      </c>
    </row>
    <row r="13" spans="1:21" s="84" customFormat="1" ht="15" x14ac:dyDescent="0.25">
      <c r="A13" s="109">
        <v>6</v>
      </c>
      <c r="B13" s="110" t="s">
        <v>31</v>
      </c>
      <c r="C13" s="111">
        <v>442.9</v>
      </c>
      <c r="D13" s="111">
        <v>9</v>
      </c>
      <c r="E13" s="111">
        <f t="shared" si="5"/>
        <v>334</v>
      </c>
      <c r="F13" s="116">
        <f>2052.308791+246.563944+203.209033+140.956516</f>
        <v>2643.0382840000002</v>
      </c>
      <c r="G13" s="112">
        <f t="shared" si="0"/>
        <v>3230.760624</v>
      </c>
      <c r="H13" s="113">
        <f t="shared" si="1"/>
        <v>0.81808545776061192</v>
      </c>
      <c r="I13" s="112">
        <f t="shared" si="2"/>
        <v>2746.1465304000003</v>
      </c>
      <c r="J13" s="112">
        <f t="shared" si="3"/>
        <v>3001.0283939999999</v>
      </c>
      <c r="K13" s="112">
        <f t="shared" si="4"/>
        <v>357.99010999999973</v>
      </c>
      <c r="L13" s="83"/>
      <c r="M13" s="84" t="e">
        <v>#N/A</v>
      </c>
    </row>
    <row r="14" spans="1:21" ht="15" x14ac:dyDescent="0.25">
      <c r="A14" s="109">
        <v>6</v>
      </c>
      <c r="B14" s="110" t="s">
        <v>34</v>
      </c>
      <c r="C14" s="111">
        <v>317.83999999999997</v>
      </c>
      <c r="D14" s="111">
        <v>5.75</v>
      </c>
      <c r="E14" s="111">
        <f t="shared" si="5"/>
        <v>334</v>
      </c>
      <c r="F14" s="116">
        <f>1544.579863+187.01923+185.120048+166.098999</f>
        <v>2082.8181399999999</v>
      </c>
      <c r="G14" s="112">
        <f t="shared" si="0"/>
        <v>2401.3066271999996</v>
      </c>
      <c r="H14" s="113">
        <f t="shared" si="1"/>
        <v>0.86736867187537492</v>
      </c>
      <c r="I14" s="112">
        <f t="shared" si="2"/>
        <v>2041.1106331199999</v>
      </c>
      <c r="J14" s="112">
        <f t="shared" si="3"/>
        <v>2230.5550331999998</v>
      </c>
      <c r="K14" s="112">
        <f t="shared" si="4"/>
        <v>147.73689319999994</v>
      </c>
      <c r="L14" s="77"/>
      <c r="M14" s="72" t="e">
        <v>#N/A</v>
      </c>
      <c r="R14" s="72">
        <v>1125.9756280000001</v>
      </c>
      <c r="S14" s="90">
        <v>217150450</v>
      </c>
      <c r="T14" s="72">
        <f t="shared" ref="T14:T15" si="8">S14/1000000</f>
        <v>217.15045000000001</v>
      </c>
      <c r="U14" s="72">
        <f t="shared" ref="U14:U15" si="9">R14+T14</f>
        <v>1343.1260780000002</v>
      </c>
    </row>
    <row r="15" spans="1:21" ht="15" x14ac:dyDescent="0.25">
      <c r="A15" s="109">
        <v>7</v>
      </c>
      <c r="B15" s="110" t="s">
        <v>30</v>
      </c>
      <c r="C15" s="111">
        <v>244.8</v>
      </c>
      <c r="D15" s="111">
        <v>5.75</v>
      </c>
      <c r="E15" s="111">
        <f t="shared" si="5"/>
        <v>334</v>
      </c>
      <c r="F15" s="116">
        <f>1237.865752+135.47797+154.253793+141.181869</f>
        <v>1668.7793839999999</v>
      </c>
      <c r="G15" s="112">
        <f t="shared" si="0"/>
        <v>1849.4835840000001</v>
      </c>
      <c r="H15" s="113">
        <f t="shared" si="1"/>
        <v>0.90229478024931731</v>
      </c>
      <c r="I15" s="112">
        <f t="shared" si="2"/>
        <v>1572.0610464000001</v>
      </c>
      <c r="J15" s="112">
        <f t="shared" si="3"/>
        <v>1717.9709040000002</v>
      </c>
      <c r="K15" s="112">
        <f t="shared" si="4"/>
        <v>49.19152000000031</v>
      </c>
      <c r="L15" s="77"/>
      <c r="M15" s="72" t="e">
        <v>#N/A</v>
      </c>
      <c r="R15" s="72">
        <v>917.00951499999996</v>
      </c>
      <c r="S15" s="90">
        <v>160713679</v>
      </c>
      <c r="T15" s="72">
        <f t="shared" si="8"/>
        <v>160.71367900000001</v>
      </c>
      <c r="U15" s="72">
        <f t="shared" si="9"/>
        <v>1077.7231939999999</v>
      </c>
    </row>
    <row r="16" spans="1:21" ht="15" x14ac:dyDescent="0.25">
      <c r="A16" s="109">
        <v>8</v>
      </c>
      <c r="B16" s="110" t="s">
        <v>33</v>
      </c>
      <c r="C16" s="111">
        <v>283.57</v>
      </c>
      <c r="D16" s="111">
        <v>5.75</v>
      </c>
      <c r="E16" s="111">
        <f t="shared" si="5"/>
        <v>334</v>
      </c>
      <c r="F16" s="116">
        <f>1363.278873+187.853727+180.329403+157.262407</f>
        <v>1888.7244099999998</v>
      </c>
      <c r="G16" s="112">
        <f t="shared" si="0"/>
        <v>2142.3940356000003</v>
      </c>
      <c r="H16" s="113">
        <f t="shared" si="1"/>
        <v>0.88159525214092671</v>
      </c>
      <c r="I16" s="112">
        <f t="shared" si="2"/>
        <v>1821.03493026</v>
      </c>
      <c r="J16" s="112">
        <f t="shared" si="3"/>
        <v>1990.0531423499999</v>
      </c>
      <c r="K16" s="112">
        <f t="shared" si="4"/>
        <v>101.32873235000011</v>
      </c>
      <c r="L16" s="83"/>
      <c r="M16" s="84" t="e">
        <v>#N/A</v>
      </c>
      <c r="N16" s="84"/>
      <c r="O16" s="84"/>
      <c r="P16" s="84"/>
      <c r="Q16" s="84"/>
      <c r="R16" s="84"/>
      <c r="S16" s="84"/>
      <c r="T16" s="84"/>
      <c r="U16" s="84"/>
    </row>
    <row r="17" spans="1:21" ht="15" x14ac:dyDescent="0.25">
      <c r="A17" s="109">
        <v>9</v>
      </c>
      <c r="B17" s="110" t="s">
        <v>95</v>
      </c>
      <c r="C17" s="111">
        <v>127.85</v>
      </c>
      <c r="D17" s="111">
        <v>5.75</v>
      </c>
      <c r="E17" s="111">
        <f t="shared" si="5"/>
        <v>334</v>
      </c>
      <c r="F17" s="116">
        <f>741.266864+76.701023+77.315947+68.985956</f>
        <v>964.26979000000006</v>
      </c>
      <c r="G17" s="112">
        <f t="shared" si="0"/>
        <v>965.91697799999986</v>
      </c>
      <c r="H17" s="113">
        <f t="shared" si="1"/>
        <v>0.99829468987758097</v>
      </c>
      <c r="I17" s="112">
        <f t="shared" si="2"/>
        <v>821.02943129999994</v>
      </c>
      <c r="J17" s="112">
        <f t="shared" si="3"/>
        <v>897.2327617499999</v>
      </c>
      <c r="K17" s="112">
        <f t="shared" si="4"/>
        <v>-67.037028250000162</v>
      </c>
      <c r="L17" s="81">
        <v>84.433183377542022</v>
      </c>
      <c r="M17" s="72" t="e">
        <v>#N/A</v>
      </c>
      <c r="N17" s="80">
        <f>J17/0.85</f>
        <v>1055.567955</v>
      </c>
      <c r="O17" s="80">
        <f>N17*0.15</f>
        <v>158.33519325</v>
      </c>
      <c r="R17" s="72">
        <v>550.78951599999994</v>
      </c>
      <c r="S17" s="90">
        <v>101460904</v>
      </c>
      <c r="T17" s="72">
        <f>S17/1000000</f>
        <v>101.460904</v>
      </c>
      <c r="U17" s="72">
        <f>R17+T17</f>
        <v>652.25041999999996</v>
      </c>
    </row>
    <row r="18" spans="1:21" ht="15" x14ac:dyDescent="0.25">
      <c r="A18" s="76">
        <v>16</v>
      </c>
      <c r="B18" s="44" t="s">
        <v>18</v>
      </c>
      <c r="C18" s="77">
        <v>183.57</v>
      </c>
      <c r="D18" s="77">
        <v>5.75</v>
      </c>
      <c r="E18" s="77">
        <f t="shared" ref="E18:E33" si="10">30+31+30+31+31+30+31</f>
        <v>214</v>
      </c>
      <c r="F18" s="82">
        <v>168.622219</v>
      </c>
      <c r="G18" s="78">
        <f t="shared" si="0"/>
        <v>888.60362759999998</v>
      </c>
      <c r="H18" s="79">
        <f t="shared" si="1"/>
        <v>0.18976089424193118</v>
      </c>
      <c r="I18" s="78">
        <f t="shared" si="2"/>
        <v>755.31308345999992</v>
      </c>
      <c r="J18" s="78">
        <f t="shared" si="3"/>
        <v>1288.26764235</v>
      </c>
      <c r="K18" s="78">
        <f t="shared" si="4"/>
        <v>1119.6454233499999</v>
      </c>
      <c r="L18" s="77"/>
      <c r="M18" s="72" t="e">
        <v>#N/A</v>
      </c>
    </row>
    <row r="19" spans="1:21" ht="15" x14ac:dyDescent="0.25">
      <c r="A19" s="76">
        <v>17</v>
      </c>
      <c r="B19" s="44" t="s">
        <v>103</v>
      </c>
      <c r="C19" s="77">
        <v>183.57</v>
      </c>
      <c r="D19" s="77">
        <v>5.75</v>
      </c>
      <c r="E19" s="77">
        <f t="shared" si="10"/>
        <v>214</v>
      </c>
      <c r="F19" s="82">
        <v>34.069685999999997</v>
      </c>
      <c r="G19" s="78">
        <f t="shared" si="0"/>
        <v>888.60362759999998</v>
      </c>
      <c r="H19" s="79">
        <f t="shared" si="1"/>
        <v>3.8340701007509595E-2</v>
      </c>
      <c r="I19" s="78">
        <f t="shared" si="2"/>
        <v>755.31308345999992</v>
      </c>
      <c r="J19" s="78">
        <f t="shared" si="3"/>
        <v>1288.26764235</v>
      </c>
      <c r="K19" s="78">
        <f t="shared" si="4"/>
        <v>1254.1979563499999</v>
      </c>
      <c r="L19" s="77"/>
    </row>
    <row r="20" spans="1:21" ht="15" x14ac:dyDescent="0.25">
      <c r="A20" s="76">
        <v>18</v>
      </c>
      <c r="B20" s="4" t="s">
        <v>27</v>
      </c>
      <c r="C20" s="77">
        <v>74</v>
      </c>
      <c r="D20" s="77">
        <v>5.75</v>
      </c>
      <c r="E20" s="77">
        <f t="shared" si="10"/>
        <v>214</v>
      </c>
      <c r="F20" s="82">
        <v>94.547942000000006</v>
      </c>
      <c r="G20" s="78">
        <f t="shared" si="0"/>
        <v>358.21032000000002</v>
      </c>
      <c r="H20" s="79">
        <f t="shared" si="1"/>
        <v>0.26394533245161667</v>
      </c>
      <c r="I20" s="78">
        <f t="shared" si="2"/>
        <v>304.47877199999999</v>
      </c>
      <c r="J20" s="78">
        <f t="shared" si="3"/>
        <v>519.32127000000003</v>
      </c>
      <c r="K20" s="78">
        <f t="shared" si="4"/>
        <v>424.77332799999999</v>
      </c>
      <c r="L20" s="77"/>
      <c r="M20" s="72" t="e">
        <v>#N/A</v>
      </c>
    </row>
    <row r="21" spans="1:21" ht="15" x14ac:dyDescent="0.25">
      <c r="A21" s="76">
        <v>19</v>
      </c>
      <c r="B21" s="4" t="s">
        <v>19</v>
      </c>
      <c r="C21" s="77">
        <v>140.16</v>
      </c>
      <c r="D21" s="77">
        <v>2.5</v>
      </c>
      <c r="E21" s="77">
        <f t="shared" si="10"/>
        <v>214</v>
      </c>
      <c r="F21" s="82">
        <v>136.0472</v>
      </c>
      <c r="G21" s="78">
        <f t="shared" si="0"/>
        <v>701.86521600000003</v>
      </c>
      <c r="H21" s="79">
        <f t="shared" si="1"/>
        <v>0.19383664683562263</v>
      </c>
      <c r="I21" s="78">
        <f t="shared" si="2"/>
        <v>596.58543359999999</v>
      </c>
      <c r="J21" s="78">
        <f t="shared" si="3"/>
        <v>1017.540576</v>
      </c>
      <c r="K21" s="78">
        <f t="shared" si="4"/>
        <v>881.49337600000001</v>
      </c>
      <c r="L21" s="77"/>
      <c r="M21" s="72" t="e">
        <v>#N/A</v>
      </c>
    </row>
    <row r="22" spans="1:21" ht="15" x14ac:dyDescent="0.25">
      <c r="A22" s="76">
        <v>20</v>
      </c>
      <c r="B22" s="4" t="s">
        <v>23</v>
      </c>
      <c r="C22" s="77">
        <v>117.19</v>
      </c>
      <c r="D22" s="77">
        <v>2.5</v>
      </c>
      <c r="E22" s="77">
        <f t="shared" si="10"/>
        <v>214</v>
      </c>
      <c r="F22" s="82">
        <v>162.74713299999999</v>
      </c>
      <c r="G22" s="78">
        <f t="shared" si="0"/>
        <v>586.840644</v>
      </c>
      <c r="H22" s="79">
        <f t="shared" si="1"/>
        <v>0.27732764365243928</v>
      </c>
      <c r="I22" s="78">
        <f t="shared" si="2"/>
        <v>498.81454739999992</v>
      </c>
      <c r="J22" s="78">
        <f t="shared" si="3"/>
        <v>850.78182149999986</v>
      </c>
      <c r="K22" s="78">
        <f t="shared" si="4"/>
        <v>688.0346884999999</v>
      </c>
      <c r="L22" s="77"/>
      <c r="M22" s="72" t="e">
        <v>#N/A</v>
      </c>
    </row>
    <row r="23" spans="1:21" ht="15" x14ac:dyDescent="0.25">
      <c r="A23" s="76">
        <v>21</v>
      </c>
      <c r="B23" s="4" t="s">
        <v>21</v>
      </c>
      <c r="C23" s="77">
        <v>200</v>
      </c>
      <c r="D23" s="77">
        <v>9</v>
      </c>
      <c r="E23" s="77">
        <f t="shared" si="10"/>
        <v>214</v>
      </c>
      <c r="F23" s="82"/>
      <c r="G23" s="78">
        <f t="shared" si="0"/>
        <v>934.75199999999995</v>
      </c>
      <c r="H23" s="79">
        <f t="shared" si="1"/>
        <v>0</v>
      </c>
      <c r="I23" s="78">
        <f t="shared" si="2"/>
        <v>794.53919999999994</v>
      </c>
      <c r="J23" s="78">
        <f t="shared" si="3"/>
        <v>1355.1719999999998</v>
      </c>
      <c r="K23" s="78">
        <f t="shared" si="4"/>
        <v>1355.1719999999998</v>
      </c>
      <c r="L23" s="77"/>
      <c r="M23" s="72">
        <v>9</v>
      </c>
    </row>
    <row r="24" spans="1:21" ht="15" x14ac:dyDescent="0.25">
      <c r="A24" s="76">
        <v>22</v>
      </c>
      <c r="B24" s="4" t="s">
        <v>32</v>
      </c>
      <c r="C24" s="77">
        <v>200</v>
      </c>
      <c r="D24" s="77">
        <v>9</v>
      </c>
      <c r="E24" s="77">
        <f t="shared" si="10"/>
        <v>214</v>
      </c>
      <c r="F24" s="82"/>
      <c r="G24" s="78">
        <f t="shared" si="0"/>
        <v>934.75199999999995</v>
      </c>
      <c r="H24" s="79">
        <f t="shared" si="1"/>
        <v>0</v>
      </c>
      <c r="I24" s="78">
        <f t="shared" si="2"/>
        <v>794.53919999999994</v>
      </c>
      <c r="J24" s="78">
        <f t="shared" si="3"/>
        <v>1355.1719999999998</v>
      </c>
      <c r="K24" s="78">
        <f t="shared" si="4"/>
        <v>1355.1719999999998</v>
      </c>
      <c r="L24" s="77"/>
      <c r="M24" s="72">
        <v>9</v>
      </c>
    </row>
    <row r="25" spans="1:21" ht="15" x14ac:dyDescent="0.25">
      <c r="A25" s="76">
        <v>23</v>
      </c>
      <c r="B25" s="4" t="s">
        <v>20</v>
      </c>
      <c r="C25" s="77">
        <v>100</v>
      </c>
      <c r="D25" s="77">
        <v>5.25</v>
      </c>
      <c r="E25" s="77">
        <f t="shared" si="10"/>
        <v>214</v>
      </c>
      <c r="F25" s="82"/>
      <c r="G25" s="78">
        <f t="shared" si="0"/>
        <v>486.63600000000002</v>
      </c>
      <c r="H25" s="79">
        <f t="shared" si="1"/>
        <v>0</v>
      </c>
      <c r="I25" s="78">
        <f t="shared" si="2"/>
        <v>413.64059999999995</v>
      </c>
      <c r="J25" s="78">
        <f t="shared" si="3"/>
        <v>705.50849999999991</v>
      </c>
      <c r="K25" s="78">
        <f t="shared" si="4"/>
        <v>705.50849999999991</v>
      </c>
      <c r="L25" s="77"/>
      <c r="M25" s="72">
        <v>5.25</v>
      </c>
    </row>
    <row r="26" spans="1:21" ht="15" x14ac:dyDescent="0.25">
      <c r="A26" s="76">
        <v>24</v>
      </c>
      <c r="B26" s="4" t="s">
        <v>57</v>
      </c>
      <c r="C26" s="77">
        <f>250*2*65%</f>
        <v>325</v>
      </c>
      <c r="D26" s="77">
        <v>8.5</v>
      </c>
      <c r="E26" s="77">
        <f t="shared" si="10"/>
        <v>214</v>
      </c>
      <c r="F26" s="82"/>
      <c r="G26" s="78">
        <f t="shared" si="0"/>
        <v>1527.318</v>
      </c>
      <c r="H26" s="79">
        <f t="shared" si="1"/>
        <v>0</v>
      </c>
      <c r="I26" s="78">
        <f t="shared" si="2"/>
        <v>1298.2203</v>
      </c>
      <c r="J26" s="78">
        <f t="shared" si="3"/>
        <v>2214.25425</v>
      </c>
      <c r="K26" s="78">
        <f t="shared" si="4"/>
        <v>2214.25425</v>
      </c>
      <c r="L26" s="77"/>
      <c r="M26" s="72" t="e">
        <v>#N/A</v>
      </c>
    </row>
    <row r="27" spans="1:21" ht="15" x14ac:dyDescent="0.25">
      <c r="A27" s="76">
        <v>25</v>
      </c>
      <c r="B27" s="4" t="s">
        <v>56</v>
      </c>
      <c r="C27" s="77">
        <f>660*2*30%</f>
        <v>396</v>
      </c>
      <c r="D27" s="77">
        <v>5.25</v>
      </c>
      <c r="E27" s="77">
        <f t="shared" si="10"/>
        <v>214</v>
      </c>
      <c r="F27" s="82"/>
      <c r="G27" s="78">
        <f t="shared" si="0"/>
        <v>1927.0785599999995</v>
      </c>
      <c r="H27" s="79">
        <f t="shared" si="1"/>
        <v>0</v>
      </c>
      <c r="I27" s="78">
        <f t="shared" si="2"/>
        <v>1638.0167759999999</v>
      </c>
      <c r="J27" s="78">
        <f t="shared" si="3"/>
        <v>2793.8136599999998</v>
      </c>
      <c r="K27" s="78">
        <f t="shared" si="4"/>
        <v>2793.8136599999998</v>
      </c>
      <c r="L27" s="77"/>
      <c r="M27" s="72" t="e">
        <v>#N/A</v>
      </c>
      <c r="N27" s="80">
        <f>J27/0.85</f>
        <v>3286.8395999999998</v>
      </c>
      <c r="O27" s="80">
        <f>N27*0.15</f>
        <v>493.02593999999993</v>
      </c>
    </row>
    <row r="28" spans="1:21" ht="15" x14ac:dyDescent="0.25">
      <c r="A28" s="76">
        <v>26</v>
      </c>
      <c r="B28" s="4" t="s">
        <v>26</v>
      </c>
      <c r="C28" s="77">
        <f>45*30%</f>
        <v>13.5</v>
      </c>
      <c r="D28" s="77">
        <v>10.5</v>
      </c>
      <c r="E28" s="77">
        <f t="shared" si="10"/>
        <v>214</v>
      </c>
      <c r="F28" s="82"/>
      <c r="G28" s="78">
        <f t="shared" si="0"/>
        <v>62.055720000000001</v>
      </c>
      <c r="H28" s="79">
        <f t="shared" si="1"/>
        <v>0</v>
      </c>
      <c r="I28" s="78">
        <f t="shared" si="2"/>
        <v>52.747362000000003</v>
      </c>
      <c r="J28" s="78">
        <f t="shared" si="3"/>
        <v>89.966295000000002</v>
      </c>
      <c r="K28" s="78">
        <f t="shared" si="4"/>
        <v>89.966295000000002</v>
      </c>
      <c r="L28" s="77"/>
      <c r="M28" s="72" t="e">
        <v>#N/A</v>
      </c>
    </row>
    <row r="29" spans="1:21" ht="15" x14ac:dyDescent="0.25">
      <c r="A29" s="76">
        <v>27</v>
      </c>
      <c r="B29" s="4" t="s">
        <v>94</v>
      </c>
      <c r="C29" s="77">
        <v>300</v>
      </c>
      <c r="D29" s="77">
        <v>9</v>
      </c>
      <c r="E29" s="77">
        <f t="shared" si="10"/>
        <v>214</v>
      </c>
      <c r="F29" s="82"/>
      <c r="G29" s="78">
        <f t="shared" si="0"/>
        <v>1402.1279999999999</v>
      </c>
      <c r="H29" s="79">
        <f t="shared" si="1"/>
        <v>0</v>
      </c>
      <c r="I29" s="78">
        <f t="shared" si="2"/>
        <v>1191.8088</v>
      </c>
      <c r="J29" s="78">
        <f t="shared" si="3"/>
        <v>2032.758</v>
      </c>
      <c r="K29" s="78">
        <f t="shared" si="4"/>
        <v>2032.758</v>
      </c>
      <c r="L29" s="77"/>
      <c r="M29" s="72" t="e">
        <v>#N/A</v>
      </c>
    </row>
    <row r="30" spans="1:21" ht="15" x14ac:dyDescent="0.25">
      <c r="A30" s="76">
        <v>28</v>
      </c>
      <c r="B30" s="4" t="s">
        <v>98</v>
      </c>
      <c r="C30" s="77">
        <f>600*30%</f>
        <v>180</v>
      </c>
      <c r="D30" s="77">
        <v>6</v>
      </c>
      <c r="E30" s="77">
        <f t="shared" si="10"/>
        <v>214</v>
      </c>
      <c r="F30" s="82"/>
      <c r="G30" s="78">
        <f t="shared" si="0"/>
        <v>869.01119999999992</v>
      </c>
      <c r="H30" s="79">
        <f t="shared" si="1"/>
        <v>0</v>
      </c>
      <c r="I30" s="78">
        <f t="shared" si="2"/>
        <v>738.65952000000004</v>
      </c>
      <c r="J30" s="78">
        <f t="shared" si="3"/>
        <v>1259.8632</v>
      </c>
      <c r="K30" s="78">
        <f t="shared" si="4"/>
        <v>1259.8632</v>
      </c>
      <c r="L30" s="77"/>
      <c r="M30" s="72">
        <v>5.75</v>
      </c>
    </row>
    <row r="31" spans="1:21" ht="15" x14ac:dyDescent="0.25">
      <c r="A31" s="76">
        <v>29</v>
      </c>
      <c r="B31" s="4" t="s">
        <v>70</v>
      </c>
      <c r="C31" s="77">
        <f>600*30%</f>
        <v>180</v>
      </c>
      <c r="D31" s="77">
        <v>6.5</v>
      </c>
      <c r="E31" s="77">
        <f t="shared" si="10"/>
        <v>214</v>
      </c>
      <c r="F31" s="82"/>
      <c r="G31" s="78">
        <f t="shared" si="0"/>
        <v>864.38880000000017</v>
      </c>
      <c r="H31" s="79">
        <f t="shared" si="1"/>
        <v>0</v>
      </c>
      <c r="I31" s="78">
        <f t="shared" si="2"/>
        <v>734.73047999999994</v>
      </c>
      <c r="J31" s="78">
        <f t="shared" si="3"/>
        <v>1253.1618000000001</v>
      </c>
      <c r="K31" s="78">
        <f t="shared" si="4"/>
        <v>1253.1618000000001</v>
      </c>
      <c r="L31" s="77"/>
      <c r="M31" s="72">
        <v>6.5</v>
      </c>
    </row>
    <row r="32" spans="1:21" ht="15" x14ac:dyDescent="0.25">
      <c r="A32" s="76">
        <v>30</v>
      </c>
      <c r="B32" s="4" t="s">
        <v>15</v>
      </c>
      <c r="C32" s="77">
        <v>75</v>
      </c>
      <c r="D32" s="77">
        <v>2.5</v>
      </c>
      <c r="E32" s="77">
        <f t="shared" si="10"/>
        <v>214</v>
      </c>
      <c r="F32" s="82"/>
      <c r="G32" s="78">
        <f t="shared" si="0"/>
        <v>375.57</v>
      </c>
      <c r="H32" s="79">
        <f t="shared" si="1"/>
        <v>0</v>
      </c>
      <c r="I32" s="78">
        <f t="shared" si="2"/>
        <v>319.23450000000003</v>
      </c>
      <c r="J32" s="78">
        <f t="shared" si="3"/>
        <v>544.48874999999998</v>
      </c>
      <c r="K32" s="78">
        <f t="shared" si="4"/>
        <v>544.48874999999998</v>
      </c>
      <c r="L32" s="77"/>
      <c r="M32" s="72" t="e">
        <v>#N/A</v>
      </c>
    </row>
    <row r="33" spans="1:15" ht="15" x14ac:dyDescent="0.25">
      <c r="A33" s="76">
        <v>31</v>
      </c>
      <c r="B33" s="4" t="s">
        <v>43</v>
      </c>
      <c r="C33" s="77">
        <f>660*37.5%*6</f>
        <v>1485</v>
      </c>
      <c r="D33" s="77">
        <v>6</v>
      </c>
      <c r="E33" s="77">
        <f t="shared" si="10"/>
        <v>214</v>
      </c>
      <c r="F33" s="82"/>
      <c r="G33" s="78">
        <f t="shared" si="0"/>
        <v>7169.3424000000005</v>
      </c>
      <c r="H33" s="79">
        <f t="shared" si="1"/>
        <v>0</v>
      </c>
      <c r="I33" s="78">
        <f t="shared" si="2"/>
        <v>6093.9410399999988</v>
      </c>
      <c r="J33" s="78">
        <f t="shared" si="3"/>
        <v>10393.871399999998</v>
      </c>
      <c r="K33" s="78">
        <f t="shared" si="4"/>
        <v>10393.871399999998</v>
      </c>
      <c r="L33" s="77"/>
      <c r="M33" s="72" t="e">
        <v>#N/A</v>
      </c>
      <c r="N33" s="80">
        <f>J33/0.85</f>
        <v>12228.083999999999</v>
      </c>
      <c r="O33" s="80">
        <f>N33*0.15</f>
        <v>1834.2125999999998</v>
      </c>
    </row>
  </sheetData>
  <autoFilter ref="A2:K33"/>
  <pageMargins left="0.70866141732283472" right="0.70866141732283472" top="0.74803149606299213" bottom="0.74803149606299213" header="0.31496062992125984" footer="0.31496062992125984"/>
  <pageSetup paperSize="9" orientation="landscape" verticalDpi="597"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2"/>
  <sheetViews>
    <sheetView view="pageBreakPreview" zoomScaleNormal="100" zoomScaleSheetLayoutView="100" workbookViewId="0">
      <pane xSplit="2" ySplit="2" topLeftCell="C3" activePane="bottomRight" state="frozen"/>
      <selection activeCell="H7" sqref="H7"/>
      <selection pane="topRight" activeCell="H7" sqref="H7"/>
      <selection pane="bottomLeft" activeCell="H7" sqref="H7"/>
      <selection pane="bottomRight" activeCell="S7" sqref="S7"/>
    </sheetView>
  </sheetViews>
  <sheetFormatPr defaultColWidth="9.140625" defaultRowHeight="12.75" x14ac:dyDescent="0.25"/>
  <cols>
    <col min="1" max="1" width="9.140625" style="71"/>
    <col min="2" max="2" width="18" style="72" customWidth="1"/>
    <col min="3" max="3" width="8.42578125" style="72" customWidth="1"/>
    <col min="4" max="4" width="6.42578125" style="72" customWidth="1"/>
    <col min="5" max="5" width="9.140625" style="72" customWidth="1"/>
    <col min="6" max="6" width="11.7109375" style="72" customWidth="1"/>
    <col min="7" max="7" width="10" style="72" customWidth="1"/>
    <col min="8" max="8" width="10.85546875" style="72" hidden="1" customWidth="1"/>
    <col min="9" max="9" width="11" style="72" customWidth="1"/>
    <col min="10" max="10" width="13.42578125" style="72" customWidth="1"/>
    <col min="11" max="11" width="15.7109375" style="72" customWidth="1"/>
    <col min="12" max="12" width="12" style="72" hidden="1" customWidth="1"/>
    <col min="13" max="13" width="0" style="72" hidden="1" customWidth="1"/>
    <col min="14" max="14" width="9.5703125" style="72" hidden="1" customWidth="1"/>
    <col min="15" max="15" width="0" style="72" hidden="1" customWidth="1"/>
    <col min="16" max="16384" width="9.140625" style="72"/>
  </cols>
  <sheetData>
    <row r="1" spans="1:15" ht="15.75" x14ac:dyDescent="0.25">
      <c r="A1" s="270" t="s">
        <v>166</v>
      </c>
      <c r="B1" s="270"/>
      <c r="C1" s="270"/>
      <c r="D1" s="270"/>
      <c r="E1" s="270"/>
      <c r="F1" s="270"/>
      <c r="G1" s="270"/>
      <c r="H1" s="270"/>
      <c r="I1" s="270"/>
      <c r="K1" s="227" t="s">
        <v>319</v>
      </c>
    </row>
    <row r="2" spans="1:15" ht="65.25" customHeight="1" x14ac:dyDescent="0.25">
      <c r="A2" s="74" t="s">
        <v>71</v>
      </c>
      <c r="B2" s="74" t="s">
        <v>111</v>
      </c>
      <c r="C2" s="74" t="s">
        <v>112</v>
      </c>
      <c r="D2" s="74" t="s">
        <v>90</v>
      </c>
      <c r="E2" s="75" t="s">
        <v>174</v>
      </c>
      <c r="F2" s="75" t="s">
        <v>316</v>
      </c>
      <c r="G2" s="75" t="s">
        <v>317</v>
      </c>
      <c r="H2" s="75" t="s">
        <v>301</v>
      </c>
      <c r="I2" s="75" t="s">
        <v>318</v>
      </c>
      <c r="J2" s="75" t="s">
        <v>313</v>
      </c>
      <c r="K2" s="75" t="s">
        <v>315</v>
      </c>
    </row>
    <row r="3" spans="1:15" ht="15" x14ac:dyDescent="0.25">
      <c r="A3" s="76">
        <v>1</v>
      </c>
      <c r="B3" s="13" t="s">
        <v>31</v>
      </c>
      <c r="C3" s="77">
        <f>VLOOKUP(B3,'rate sheet working'!$B$3:$D$158,3,0)</f>
        <v>417.26</v>
      </c>
      <c r="D3" s="77">
        <f>VLOOKUP(B3,'fixed cost'!$B$4:$F$116,5,0)</f>
        <v>9</v>
      </c>
      <c r="E3" s="76">
        <f>30+31+30+31+31+30+31+30+31+31+28</f>
        <v>334</v>
      </c>
      <c r="F3" s="219">
        <f>(2535461813+17626185)/1000000</f>
        <v>2553.087998</v>
      </c>
      <c r="G3" s="219">
        <f t="shared" ref="G3:G11" si="0">(C3*(1-D3%)*24*1000*E3)/1000000</f>
        <v>3043.7281055999997</v>
      </c>
      <c r="H3" s="220">
        <f t="shared" ref="H3:H11" si="1">F3/G3</f>
        <v>0.83880291189699363</v>
      </c>
      <c r="I3" s="219">
        <f t="shared" ref="I3:I8" si="2">(C3*(1-D3%)*0.85*24*1000*E3)/1000000</f>
        <v>2587.1688897599997</v>
      </c>
      <c r="J3" s="219">
        <f t="shared" ref="J3:J11" si="3">(C3*(1-D3%)*0.85*24*1000*365)/1000000</f>
        <v>2827.2953435999998</v>
      </c>
      <c r="K3" s="219">
        <f t="shared" ref="K3:K11" si="4">IF(((J3-F3)&gt;0),(J3-F3),0)</f>
        <v>274.20734559999983</v>
      </c>
      <c r="L3">
        <v>2279149920</v>
      </c>
      <c r="M3">
        <v>15834025</v>
      </c>
      <c r="N3" s="72">
        <f>M3+L3</f>
        <v>2294983945</v>
      </c>
      <c r="O3" s="72">
        <f>N3/10^6</f>
        <v>2294.9839449999999</v>
      </c>
    </row>
    <row r="4" spans="1:15" ht="15" x14ac:dyDescent="0.25">
      <c r="A4" s="76">
        <v>2</v>
      </c>
      <c r="B4" s="13" t="s">
        <v>95</v>
      </c>
      <c r="C4" s="77">
        <f>VLOOKUP(B4,'rate sheet working'!$B$3:$D$158,3,0)</f>
        <v>127.86</v>
      </c>
      <c r="D4" s="77">
        <f>VLOOKUP(B4,'fixed cost'!$B$4:$F$116,5,0)</f>
        <v>6.95</v>
      </c>
      <c r="E4" s="76">
        <v>334</v>
      </c>
      <c r="F4" s="219">
        <f>(773356925+8553913)/1000000</f>
        <v>781.91083800000001</v>
      </c>
      <c r="G4" s="219">
        <f t="shared" si="0"/>
        <v>953.69341967999992</v>
      </c>
      <c r="H4" s="220">
        <f t="shared" si="1"/>
        <v>0.81987651572804243</v>
      </c>
      <c r="I4" s="219">
        <f t="shared" ref="I4" si="5">(C4*(1-D4%)*0.85*24*1000*E4)/1000000</f>
        <v>810.63940672799993</v>
      </c>
      <c r="J4" s="219">
        <f t="shared" si="3"/>
        <v>885.87839357999997</v>
      </c>
      <c r="K4" s="219">
        <f t="shared" si="4"/>
        <v>103.96755557999995</v>
      </c>
      <c r="L4">
        <v>744827598</v>
      </c>
      <c r="M4">
        <v>8240730</v>
      </c>
      <c r="N4" s="72">
        <f t="shared" ref="N4:N11" si="6">M4+L4</f>
        <v>753068328</v>
      </c>
      <c r="O4" s="72">
        <f t="shared" ref="O4:O11" si="7">N4/10^6</f>
        <v>753.06832799999995</v>
      </c>
    </row>
    <row r="5" spans="1:15" ht="15" x14ac:dyDescent="0.25">
      <c r="A5" s="76">
        <v>3</v>
      </c>
      <c r="B5" s="13" t="s">
        <v>34</v>
      </c>
      <c r="C5" s="77">
        <f>VLOOKUP(B5,'rate sheet working'!$B$3:$D$158,3,0)</f>
        <v>298.47000000000003</v>
      </c>
      <c r="D5" s="77">
        <f>VLOOKUP(B5,'fixed cost'!$B$4:$F$116,5,0)</f>
        <v>6.55</v>
      </c>
      <c r="E5" s="76">
        <v>334</v>
      </c>
      <c r="F5" s="219">
        <f>(1859228795 +14526533)/1000000</f>
        <v>1873.755328</v>
      </c>
      <c r="G5" s="219">
        <f t="shared" si="0"/>
        <v>2235.8244434399999</v>
      </c>
      <c r="H5" s="220">
        <f t="shared" si="1"/>
        <v>0.83806013191137374</v>
      </c>
      <c r="I5" s="219">
        <f t="shared" si="2"/>
        <v>1900.4507769240001</v>
      </c>
      <c r="J5" s="219">
        <f t="shared" si="3"/>
        <v>2076.83992089</v>
      </c>
      <c r="K5" s="219">
        <f t="shared" si="4"/>
        <v>203.08459289000007</v>
      </c>
      <c r="L5">
        <v>1667982315</v>
      </c>
      <c r="M5">
        <v>13009185</v>
      </c>
      <c r="N5" s="72">
        <f t="shared" si="6"/>
        <v>1680991500</v>
      </c>
      <c r="O5" s="72">
        <f t="shared" si="7"/>
        <v>1680.9915000000001</v>
      </c>
    </row>
    <row r="6" spans="1:15" ht="16.5" customHeight="1" x14ac:dyDescent="0.25">
      <c r="A6" s="76">
        <v>4</v>
      </c>
      <c r="B6" s="13" t="s">
        <v>33</v>
      </c>
      <c r="C6" s="77">
        <f>VLOOKUP(B6,'rate sheet working'!$B$3:$D$158,3,0)</f>
        <v>256.41000000000003</v>
      </c>
      <c r="D6" s="77">
        <f>VLOOKUP(B6,'fixed cost'!$B$4:$F$116,5,0)</f>
        <v>5.75</v>
      </c>
      <c r="E6" s="76">
        <v>334</v>
      </c>
      <c r="F6" s="219">
        <f>(1693573570+18605288)/1000000</f>
        <v>1712.178858</v>
      </c>
      <c r="G6" s="219">
        <f t="shared" si="0"/>
        <v>1937.1980628000003</v>
      </c>
      <c r="H6" s="220">
        <f t="shared" si="1"/>
        <v>0.88384295384088885</v>
      </c>
      <c r="I6" s="219">
        <f t="shared" si="2"/>
        <v>1646.6183533800004</v>
      </c>
      <c r="J6" s="219">
        <f t="shared" si="3"/>
        <v>1799.4482005500004</v>
      </c>
      <c r="K6" s="219">
        <f t="shared" si="4"/>
        <v>87.269342550000374</v>
      </c>
      <c r="L6">
        <v>1522961858</v>
      </c>
      <c r="M6">
        <v>16749038</v>
      </c>
      <c r="N6" s="72">
        <f t="shared" si="6"/>
        <v>1539710896</v>
      </c>
      <c r="O6" s="72">
        <f t="shared" si="7"/>
        <v>1539.710896</v>
      </c>
    </row>
    <row r="7" spans="1:15" ht="16.5" customHeight="1" x14ac:dyDescent="0.25">
      <c r="A7" s="76">
        <v>5</v>
      </c>
      <c r="B7" s="13" t="s">
        <v>30</v>
      </c>
      <c r="C7" s="77">
        <f>VLOOKUP(B7,'rate sheet working'!$B$3:$D$158,3,0)</f>
        <v>225.47</v>
      </c>
      <c r="D7" s="77">
        <f>VLOOKUP(B7,'fixed cost'!$B$4:$F$116,5,0)</f>
        <v>5.75</v>
      </c>
      <c r="E7" s="76">
        <v>334</v>
      </c>
      <c r="F7" s="219">
        <f>(1453646545+14798673)/1000000</f>
        <v>1468.4452180000001</v>
      </c>
      <c r="G7" s="219">
        <f t="shared" si="0"/>
        <v>1703.4438876000002</v>
      </c>
      <c r="H7" s="220">
        <f t="shared" si="1"/>
        <v>0.86204496003029951</v>
      </c>
      <c r="I7" s="219">
        <f t="shared" si="2"/>
        <v>1447.9273044599997</v>
      </c>
      <c r="J7" s="219">
        <f t="shared" si="3"/>
        <v>1582.3157668499998</v>
      </c>
      <c r="K7" s="219">
        <f t="shared" si="4"/>
        <v>113.87054884999975</v>
      </c>
      <c r="L7">
        <v>1310659255</v>
      </c>
      <c r="M7">
        <v>13318378</v>
      </c>
      <c r="N7" s="72">
        <f t="shared" si="6"/>
        <v>1323977633</v>
      </c>
      <c r="O7" s="72">
        <f t="shared" si="7"/>
        <v>1323.977633</v>
      </c>
    </row>
    <row r="8" spans="1:15" ht="15" customHeight="1" x14ac:dyDescent="0.25">
      <c r="A8" s="76">
        <v>6</v>
      </c>
      <c r="B8" s="13" t="s">
        <v>29</v>
      </c>
      <c r="C8" s="77">
        <f>VLOOKUP(B8,'rate sheet working'!$B$3:$D$158,3,0)</f>
        <v>283</v>
      </c>
      <c r="D8" s="77">
        <f>VLOOKUP(B8,'fixed cost'!$B$4:$F$116,5,0)</f>
        <v>5.75</v>
      </c>
      <c r="E8" s="76">
        <v>334</v>
      </c>
      <c r="F8" s="219">
        <f>(2054597155+38437003)/1000000</f>
        <v>2093.0341579999999</v>
      </c>
      <c r="G8" s="219">
        <f t="shared" si="0"/>
        <v>2138.0876400000002</v>
      </c>
      <c r="H8" s="220">
        <f t="shared" si="1"/>
        <v>0.97892814066312073</v>
      </c>
      <c r="I8" s="219">
        <f t="shared" si="2"/>
        <v>1817.3744939999999</v>
      </c>
      <c r="J8" s="219">
        <f t="shared" si="3"/>
        <v>1986.0529650000001</v>
      </c>
      <c r="K8" s="219">
        <f t="shared" si="4"/>
        <v>0</v>
      </c>
      <c r="L8">
        <v>1860070070</v>
      </c>
      <c r="M8">
        <v>34826425</v>
      </c>
      <c r="N8" s="72">
        <f t="shared" si="6"/>
        <v>1894896495</v>
      </c>
      <c r="O8" s="72">
        <f t="shared" si="7"/>
        <v>1894.896495</v>
      </c>
    </row>
    <row r="9" spans="1:15" ht="15" x14ac:dyDescent="0.25">
      <c r="A9" s="76">
        <v>7</v>
      </c>
      <c r="B9" s="13" t="s">
        <v>36</v>
      </c>
      <c r="C9" s="77">
        <f>VLOOKUP(B9,'rate sheet working'!$B$3:$D$158,3,0)</f>
        <v>452.63</v>
      </c>
      <c r="D9" s="77">
        <f>VLOOKUP(B9,'fixed cost'!$B$4:$F$116,5,0)</f>
        <v>6.68</v>
      </c>
      <c r="E9" s="76">
        <v>334</v>
      </c>
      <c r="F9" s="219">
        <f>(3213622033+26787315)/1000000</f>
        <v>3240.4093480000001</v>
      </c>
      <c r="G9" s="219">
        <f t="shared" si="0"/>
        <v>3385.9128370560002</v>
      </c>
      <c r="H9" s="220">
        <f t="shared" si="1"/>
        <v>0.95702680604663382</v>
      </c>
      <c r="I9" s="219">
        <f t="shared" ref="I9" si="8">(C9*(1-D9%)*0.85*24*1000*E9)/1000000</f>
        <v>2878.0259114976006</v>
      </c>
      <c r="J9" s="219">
        <f t="shared" si="3"/>
        <v>3145.1480769360005</v>
      </c>
      <c r="K9" s="219">
        <f t="shared" si="4"/>
        <v>0</v>
      </c>
      <c r="L9">
        <v>2914661355</v>
      </c>
      <c r="M9">
        <v>24227015</v>
      </c>
      <c r="N9" s="72">
        <f t="shared" si="6"/>
        <v>2938888370</v>
      </c>
      <c r="O9" s="72">
        <f t="shared" si="7"/>
        <v>2938.8883700000001</v>
      </c>
    </row>
    <row r="10" spans="1:15" ht="15" x14ac:dyDescent="0.25">
      <c r="A10" s="76">
        <v>8</v>
      </c>
      <c r="B10" s="25" t="s">
        <v>37</v>
      </c>
      <c r="C10" s="77">
        <f>VLOOKUP(B10,'rate sheet working'!$B$3:$D$158,3,0)</f>
        <v>62.5</v>
      </c>
      <c r="D10" s="77">
        <f>VLOOKUP(B10,'fixed cost'!$B$4:$F$116,5,0)</f>
        <v>5.75</v>
      </c>
      <c r="E10" s="76">
        <v>334</v>
      </c>
      <c r="F10" s="225">
        <f>(512683635+10768783)/1000000</f>
        <v>523.45241799999997</v>
      </c>
      <c r="G10" s="219">
        <f t="shared" si="0"/>
        <v>472.1925</v>
      </c>
      <c r="H10" s="220">
        <f t="shared" ref="H10" si="9">F10/G10</f>
        <v>1.1085572473090952</v>
      </c>
      <c r="I10" s="219">
        <f t="shared" ref="I10" si="10">(C10*(1-D10%)*0.85*24*1000*E10)/1000000</f>
        <v>401.36362500000001</v>
      </c>
      <c r="J10" s="219">
        <f t="shared" ref="J10" si="11">(C10*(1-D10%)*0.85*24*1000*365)/1000000</f>
        <v>438.61593749999997</v>
      </c>
      <c r="K10" s="219">
        <f t="shared" ref="K10" si="12">IF(((J10-F10)&gt;0),(J10-F10),0)</f>
        <v>0</v>
      </c>
      <c r="L10">
        <v>2914661355</v>
      </c>
      <c r="M10">
        <v>24227015</v>
      </c>
      <c r="N10" s="72">
        <f t="shared" si="6"/>
        <v>2938888370</v>
      </c>
      <c r="O10" s="72">
        <f t="shared" si="7"/>
        <v>2938.8883700000001</v>
      </c>
    </row>
    <row r="11" spans="1:15" ht="14.25" customHeight="1" x14ac:dyDescent="0.25">
      <c r="A11" s="76">
        <v>9</v>
      </c>
      <c r="B11" s="13" t="s">
        <v>172</v>
      </c>
      <c r="C11" s="77">
        <f>VLOOKUP(B11,'rate sheet working'!$B$3:$D$158,3,0)</f>
        <v>147.41999999999999</v>
      </c>
      <c r="D11" s="77">
        <f>VLOOKUP(B11,'fixed cost'!$B$4:$F$116,5,0)</f>
        <v>5.75</v>
      </c>
      <c r="E11" s="76">
        <v>334</v>
      </c>
      <c r="F11" s="219">
        <f>(1191802603+32749030)/1000000</f>
        <v>1224.551633</v>
      </c>
      <c r="G11" s="219">
        <f t="shared" si="0"/>
        <v>1113.7698935999999</v>
      </c>
      <c r="H11" s="220">
        <f t="shared" si="1"/>
        <v>1.0994655539143046</v>
      </c>
      <c r="I11" s="219">
        <f t="shared" ref="I11" si="13">(C11*(1-D11%)*0.85*24*1000*E11)/1000000</f>
        <v>946.70440955999982</v>
      </c>
      <c r="J11" s="219">
        <f t="shared" si="3"/>
        <v>1034.5721840999997</v>
      </c>
      <c r="K11" s="219">
        <f t="shared" si="4"/>
        <v>0</v>
      </c>
      <c r="L11">
        <v>1086747160</v>
      </c>
      <c r="M11">
        <v>29910505</v>
      </c>
      <c r="N11" s="72">
        <f t="shared" si="6"/>
        <v>1116657665</v>
      </c>
      <c r="O11" s="72">
        <f t="shared" si="7"/>
        <v>1116.657665</v>
      </c>
    </row>
    <row r="12" spans="1:15" x14ac:dyDescent="0.25">
      <c r="F12" s="221"/>
      <c r="G12" s="221"/>
      <c r="H12" s="221"/>
      <c r="I12" s="221"/>
      <c r="J12" s="221"/>
      <c r="K12" s="221"/>
    </row>
  </sheetData>
  <autoFilter ref="A2:K11"/>
  <mergeCells count="1">
    <mergeCell ref="A1:I1"/>
  </mergeCells>
  <pageMargins left="0.70866141732283472" right="0.70866141732283472" top="0.74803149606299213" bottom="0.74803149606299213" header="0.31496062992125984" footer="0.31496062992125984"/>
  <pageSetup paperSize="9" scale="7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58"/>
  <sheetViews>
    <sheetView view="pageBreakPreview" zoomScaleSheetLayoutView="100" workbookViewId="0">
      <pane xSplit="2" ySplit="2" topLeftCell="C144" activePane="bottomRight" state="frozen"/>
      <selection activeCell="S183" sqref="S183"/>
      <selection pane="topRight" activeCell="S183" sqref="S183"/>
      <selection pane="bottomLeft" activeCell="S183" sqref="S183"/>
      <selection pane="bottomRight" activeCell="B24" sqref="B24"/>
    </sheetView>
  </sheetViews>
  <sheetFormatPr defaultColWidth="9.140625" defaultRowHeight="15" x14ac:dyDescent="0.25"/>
  <cols>
    <col min="1" max="1" width="7" style="16" customWidth="1"/>
    <col min="2" max="2" width="40.7109375" style="16" customWidth="1"/>
    <col min="3" max="3" width="8.42578125" style="16" customWidth="1"/>
    <col min="4" max="4" width="9.85546875" style="16" customWidth="1"/>
    <col min="5" max="5" width="10.28515625" style="16" customWidth="1"/>
    <col min="6" max="6" width="9.85546875" style="16" customWidth="1"/>
    <col min="7" max="7" width="10.5703125" style="16" customWidth="1"/>
    <col min="8" max="8" width="10.85546875" style="16" customWidth="1"/>
    <col min="9" max="9" width="5.7109375" style="16" customWidth="1"/>
    <col min="10" max="10" width="9.7109375" style="16" customWidth="1"/>
    <col min="11" max="11" width="10.140625" style="16" customWidth="1"/>
    <col min="12" max="16384" width="9.140625" style="16"/>
  </cols>
  <sheetData>
    <row r="1" spans="1:11" x14ac:dyDescent="0.25">
      <c r="A1" s="271" t="s">
        <v>165</v>
      </c>
      <c r="B1" s="271"/>
      <c r="C1" s="271"/>
      <c r="D1" s="271"/>
      <c r="E1" s="271"/>
      <c r="F1" s="271"/>
      <c r="G1" s="271"/>
      <c r="H1" s="271"/>
      <c r="I1" s="271"/>
      <c r="J1" s="271"/>
      <c r="K1" s="271"/>
    </row>
    <row r="2" spans="1:11" ht="57.75" customHeight="1" x14ac:dyDescent="0.25">
      <c r="A2" s="29" t="s">
        <v>0</v>
      </c>
      <c r="B2" s="29" t="s">
        <v>1</v>
      </c>
      <c r="C2" s="29" t="s">
        <v>63</v>
      </c>
      <c r="D2" s="29" t="s">
        <v>61</v>
      </c>
      <c r="E2" s="29" t="s">
        <v>62</v>
      </c>
      <c r="F2" s="29" t="s">
        <v>69</v>
      </c>
      <c r="G2" s="28" t="s">
        <v>89</v>
      </c>
      <c r="H2" s="28" t="s">
        <v>93</v>
      </c>
      <c r="I2" s="29" t="s">
        <v>90</v>
      </c>
      <c r="J2" s="29" t="s">
        <v>91</v>
      </c>
      <c r="K2" s="29" t="s">
        <v>92</v>
      </c>
    </row>
    <row r="3" spans="1:11" ht="15.75" x14ac:dyDescent="0.25">
      <c r="A3" s="35">
        <v>1</v>
      </c>
      <c r="B3" s="4" t="s">
        <v>102</v>
      </c>
      <c r="C3" s="25">
        <v>12</v>
      </c>
      <c r="D3" s="25">
        <v>12</v>
      </c>
      <c r="E3" s="36">
        <v>0</v>
      </c>
      <c r="F3" s="25"/>
      <c r="G3" s="31"/>
      <c r="H3" s="30"/>
      <c r="I3" s="32"/>
      <c r="J3" s="33"/>
      <c r="K3" s="31"/>
    </row>
    <row r="4" spans="1:11" ht="15.75" x14ac:dyDescent="0.25">
      <c r="A4" s="35">
        <v>2</v>
      </c>
      <c r="B4" s="25" t="s">
        <v>24</v>
      </c>
      <c r="C4" s="25">
        <v>210</v>
      </c>
      <c r="D4" s="25">
        <v>210</v>
      </c>
      <c r="E4" s="36">
        <f>VLOOKUP(B4,'fixed cost'!$B$4:$H$116,7,0)</f>
        <v>1.2209309435049047</v>
      </c>
      <c r="F4" s="36">
        <v>1.423</v>
      </c>
      <c r="G4" s="31">
        <f t="shared" ref="G4:G16" si="0">H4*(100%-I4)</f>
        <v>191.1</v>
      </c>
      <c r="H4" s="30">
        <v>210</v>
      </c>
      <c r="I4" s="32">
        <v>0.09</v>
      </c>
      <c r="J4" s="33">
        <v>0.85</v>
      </c>
      <c r="K4" s="31">
        <f t="shared" ref="K4:K16" si="1">G4*J4</f>
        <v>162.435</v>
      </c>
    </row>
    <row r="5" spans="1:11" ht="15.75" x14ac:dyDescent="0.25">
      <c r="A5" s="35">
        <v>3</v>
      </c>
      <c r="B5" s="147" t="s">
        <v>196</v>
      </c>
      <c r="C5" s="25">
        <v>0</v>
      </c>
      <c r="D5" s="25">
        <v>0</v>
      </c>
      <c r="E5" s="36">
        <f>E4</f>
        <v>1.2209309435049047</v>
      </c>
      <c r="F5" s="36"/>
      <c r="G5" s="31"/>
      <c r="H5" s="30"/>
      <c r="I5" s="32"/>
      <c r="J5" s="33"/>
      <c r="K5" s="31"/>
    </row>
    <row r="6" spans="1:11" ht="15.75" x14ac:dyDescent="0.25">
      <c r="A6" s="35">
        <v>4</v>
      </c>
      <c r="B6" s="59" t="s">
        <v>209</v>
      </c>
      <c r="C6" s="25">
        <v>0</v>
      </c>
      <c r="D6" s="25">
        <v>0</v>
      </c>
      <c r="E6" s="36">
        <f>E5</f>
        <v>1.2209309435049047</v>
      </c>
      <c r="F6" s="36"/>
      <c r="G6" s="31"/>
      <c r="H6" s="30"/>
      <c r="I6" s="32"/>
      <c r="J6" s="33"/>
      <c r="K6" s="31"/>
    </row>
    <row r="7" spans="1:11" ht="15.75" x14ac:dyDescent="0.25">
      <c r="A7" s="35">
        <v>5</v>
      </c>
      <c r="B7" s="25" t="s">
        <v>42</v>
      </c>
      <c r="C7" s="25">
        <v>315</v>
      </c>
      <c r="D7" s="25">
        <v>315</v>
      </c>
      <c r="E7" s="36">
        <f>VLOOKUP(B7,'fixed cost'!$B$4:$H$116,7,0)</f>
        <v>0.46123333794566668</v>
      </c>
      <c r="F7" s="36">
        <v>0.76200000000000001</v>
      </c>
      <c r="G7" s="31">
        <f t="shared" si="0"/>
        <v>77.962500000000006</v>
      </c>
      <c r="H7" s="30">
        <f>315*0.25</f>
        <v>78.75</v>
      </c>
      <c r="I7" s="32">
        <v>0.01</v>
      </c>
      <c r="J7" s="33">
        <v>0.85</v>
      </c>
      <c r="K7" s="31">
        <f t="shared" si="1"/>
        <v>66.268124999999998</v>
      </c>
    </row>
    <row r="8" spans="1:11" ht="15.75" x14ac:dyDescent="0.25">
      <c r="A8" s="35">
        <v>6</v>
      </c>
      <c r="B8" s="25" t="s">
        <v>44</v>
      </c>
      <c r="C8" s="25">
        <v>30</v>
      </c>
      <c r="D8" s="25">
        <v>30</v>
      </c>
      <c r="E8" s="36">
        <f>VLOOKUP(B8,'fixed cost'!$B$4:$H$116,7,0)</f>
        <v>0.46168552749267233</v>
      </c>
      <c r="F8" s="36">
        <v>0.57799999999999996</v>
      </c>
      <c r="G8" s="31">
        <f t="shared" si="0"/>
        <v>9.9</v>
      </c>
      <c r="H8" s="30">
        <v>10</v>
      </c>
      <c r="I8" s="32">
        <v>0.01</v>
      </c>
      <c r="J8" s="33">
        <v>0.9</v>
      </c>
      <c r="K8" s="31">
        <f t="shared" si="1"/>
        <v>8.91</v>
      </c>
    </row>
    <row r="9" spans="1:11" ht="15.75" x14ac:dyDescent="0.25">
      <c r="A9" s="35">
        <v>7</v>
      </c>
      <c r="B9" s="25" t="s">
        <v>39</v>
      </c>
      <c r="C9" s="25">
        <v>60</v>
      </c>
      <c r="D9" s="25">
        <v>60</v>
      </c>
      <c r="E9" s="36">
        <f>VLOOKUP(B9,'fixed cost'!$B$4:$H$116,7,0)</f>
        <v>0.46100724317216396</v>
      </c>
      <c r="F9" s="36">
        <v>1.0089999999999999</v>
      </c>
      <c r="G9" s="31">
        <f t="shared" si="0"/>
        <v>9.9</v>
      </c>
      <c r="H9" s="30">
        <v>10</v>
      </c>
      <c r="I9" s="32">
        <v>0.01</v>
      </c>
      <c r="J9" s="33">
        <v>0.85</v>
      </c>
      <c r="K9" s="31">
        <f t="shared" si="1"/>
        <v>8.4150000000000009</v>
      </c>
    </row>
    <row r="10" spans="1:11" ht="15.75" x14ac:dyDescent="0.25">
      <c r="A10" s="35">
        <v>8</v>
      </c>
      <c r="B10" s="25" t="s">
        <v>47</v>
      </c>
      <c r="C10" s="25">
        <v>90</v>
      </c>
      <c r="D10" s="25">
        <v>90</v>
      </c>
      <c r="E10" s="36">
        <f>VLOOKUP(B10,'fixed cost'!$B$4:$H$116,7,0)</f>
        <v>0.28744182204653151</v>
      </c>
      <c r="F10" s="36">
        <v>0.184</v>
      </c>
      <c r="G10" s="31">
        <f t="shared" si="0"/>
        <v>44.55</v>
      </c>
      <c r="H10" s="30">
        <f>90*0.5</f>
        <v>45</v>
      </c>
      <c r="I10" s="32">
        <v>0.01</v>
      </c>
      <c r="J10" s="33">
        <v>0.85</v>
      </c>
      <c r="K10" s="31">
        <f t="shared" si="1"/>
        <v>37.8675</v>
      </c>
    </row>
    <row r="11" spans="1:11" ht="15.75" x14ac:dyDescent="0.25">
      <c r="A11" s="35">
        <v>9</v>
      </c>
      <c r="B11" s="25" t="s">
        <v>41</v>
      </c>
      <c r="C11" s="25">
        <v>20</v>
      </c>
      <c r="D11" s="25">
        <v>20</v>
      </c>
      <c r="E11" s="36">
        <f>VLOOKUP(B11,'fixed cost'!$B$4:$H$116,7,0)</f>
        <v>0.41036201390754168</v>
      </c>
      <c r="F11" s="36">
        <v>0.67400000000000004</v>
      </c>
      <c r="G11" s="31">
        <f t="shared" si="0"/>
        <v>0</v>
      </c>
      <c r="H11" s="30">
        <v>0</v>
      </c>
      <c r="I11" s="32">
        <v>0.01</v>
      </c>
      <c r="J11" s="33">
        <v>0.85</v>
      </c>
      <c r="K11" s="31">
        <f t="shared" si="1"/>
        <v>0</v>
      </c>
    </row>
    <row r="12" spans="1:11" ht="15.75" x14ac:dyDescent="0.25">
      <c r="A12" s="35">
        <v>10</v>
      </c>
      <c r="B12" s="25" t="s">
        <v>279</v>
      </c>
      <c r="C12" s="25">
        <v>90</v>
      </c>
      <c r="D12" s="25">
        <f>C12*30%</f>
        <v>27</v>
      </c>
      <c r="E12" s="36">
        <f>VLOOKUP(B12,'fixed cost'!$B$4:$H$116,7,0)</f>
        <v>1.917718185460455</v>
      </c>
      <c r="F12" s="36">
        <v>3.2879999999999998</v>
      </c>
      <c r="G12" s="31">
        <f>H12*(100%-I12)</f>
        <v>14.09625</v>
      </c>
      <c r="H12" s="30">
        <v>15.75</v>
      </c>
      <c r="I12" s="32">
        <v>0.105</v>
      </c>
      <c r="J12" s="33">
        <v>0.85</v>
      </c>
      <c r="K12" s="31">
        <f>G12*J12</f>
        <v>11.981812499999998</v>
      </c>
    </row>
    <row r="13" spans="1:11" ht="15.75" x14ac:dyDescent="0.25">
      <c r="A13" s="35">
        <v>11</v>
      </c>
      <c r="B13" s="25" t="s">
        <v>127</v>
      </c>
      <c r="C13" s="25">
        <v>45</v>
      </c>
      <c r="D13" s="25">
        <v>15.75</v>
      </c>
      <c r="E13" s="36">
        <f>VLOOKUP(B13,'fixed cost'!$B$4:$H$116,7,0)</f>
        <v>2.1331321913389898</v>
      </c>
      <c r="F13" s="36">
        <v>3.2879999999999998</v>
      </c>
      <c r="G13" s="31">
        <f>H13*(100%-I13)</f>
        <v>14.09625</v>
      </c>
      <c r="H13" s="30">
        <v>15.75</v>
      </c>
      <c r="I13" s="32">
        <v>0.105</v>
      </c>
      <c r="J13" s="33">
        <v>0.85</v>
      </c>
      <c r="K13" s="31">
        <f>G13*J13</f>
        <v>11.981812499999998</v>
      </c>
    </row>
    <row r="14" spans="1:11" ht="15.75" x14ac:dyDescent="0.25">
      <c r="A14" s="35">
        <v>12</v>
      </c>
      <c r="B14" s="4" t="s">
        <v>187</v>
      </c>
      <c r="C14" s="25">
        <v>500</v>
      </c>
      <c r="D14" s="25">
        <v>200</v>
      </c>
      <c r="E14" s="36">
        <f>VLOOKUP(B14,'fixed cost'!$B$4:$H$116,7,0)</f>
        <v>1.5800394026942246</v>
      </c>
      <c r="F14" s="36">
        <v>2.4353779208054371</v>
      </c>
      <c r="G14" s="31">
        <f t="shared" si="0"/>
        <v>182</v>
      </c>
      <c r="H14" s="30">
        <v>200</v>
      </c>
      <c r="I14" s="32">
        <v>0.09</v>
      </c>
      <c r="J14" s="33">
        <v>0.83</v>
      </c>
      <c r="K14" s="31">
        <f t="shared" si="1"/>
        <v>151.06</v>
      </c>
    </row>
    <row r="15" spans="1:11" ht="15.75" x14ac:dyDescent="0.25">
      <c r="A15" s="35">
        <v>13</v>
      </c>
      <c r="B15" s="4" t="s">
        <v>188</v>
      </c>
      <c r="C15" s="25">
        <v>1000</v>
      </c>
      <c r="D15" s="25">
        <v>100</v>
      </c>
      <c r="E15" s="36">
        <f>VLOOKUP(B15,'fixed cost'!$B$4:$H$116,7,0)</f>
        <v>1.5060402359410392</v>
      </c>
      <c r="F15" s="36">
        <v>2.0177431605386698</v>
      </c>
      <c r="G15" s="31">
        <f t="shared" si="0"/>
        <v>93.17</v>
      </c>
      <c r="H15" s="30">
        <v>100</v>
      </c>
      <c r="I15" s="32">
        <v>6.83E-2</v>
      </c>
      <c r="J15" s="33">
        <v>0.83</v>
      </c>
      <c r="K15" s="31">
        <f t="shared" si="1"/>
        <v>77.331099999999992</v>
      </c>
    </row>
    <row r="16" spans="1:11" ht="15.75" x14ac:dyDescent="0.25">
      <c r="A16" s="35">
        <v>14</v>
      </c>
      <c r="B16" s="25" t="s">
        <v>21</v>
      </c>
      <c r="C16" s="25">
        <v>500</v>
      </c>
      <c r="D16" s="25">
        <v>200</v>
      </c>
      <c r="E16" s="36">
        <f>VLOOKUP(B16,'fixed cost'!$B$4:$H$116,7,0)</f>
        <v>1.3683393694674919</v>
      </c>
      <c r="F16" s="36">
        <v>2.1315511787223773</v>
      </c>
      <c r="G16" s="31">
        <f t="shared" si="0"/>
        <v>182</v>
      </c>
      <c r="H16" s="30">
        <v>200</v>
      </c>
      <c r="I16" s="32">
        <v>0.09</v>
      </c>
      <c r="J16" s="33">
        <v>0.83</v>
      </c>
      <c r="K16" s="31">
        <f t="shared" si="1"/>
        <v>151.06</v>
      </c>
    </row>
    <row r="17" spans="1:11" ht="15.75" x14ac:dyDescent="0.25">
      <c r="A17" s="35">
        <v>15</v>
      </c>
      <c r="B17" s="25" t="s">
        <v>282</v>
      </c>
      <c r="C17" s="25">
        <f>600*2</f>
        <v>1200</v>
      </c>
      <c r="D17" s="25">
        <v>60</v>
      </c>
      <c r="E17" s="36">
        <f>VLOOKUP(B17,'fixed cost'!$B$4:$H$116,7,0)</f>
        <v>0</v>
      </c>
      <c r="F17" s="36">
        <v>3.9303614558786126</v>
      </c>
      <c r="G17" s="34">
        <v>0</v>
      </c>
      <c r="H17" s="30">
        <v>0</v>
      </c>
      <c r="I17" s="34">
        <v>0</v>
      </c>
      <c r="J17" s="33" t="s">
        <v>66</v>
      </c>
      <c r="K17" s="34">
        <v>0</v>
      </c>
    </row>
    <row r="18" spans="1:11" ht="15.75" x14ac:dyDescent="0.25">
      <c r="A18" s="35">
        <v>16</v>
      </c>
      <c r="B18" s="25" t="s">
        <v>169</v>
      </c>
      <c r="C18" s="25">
        <v>1600</v>
      </c>
      <c r="D18">
        <v>800</v>
      </c>
      <c r="E18" s="36">
        <f>VLOOKUP(B18,'fixed cost'!$B$4:$H$116,7,0)</f>
        <v>2.0601461379581085</v>
      </c>
      <c r="F18" s="36"/>
      <c r="G18" s="34"/>
      <c r="H18" s="30"/>
      <c r="I18" s="34"/>
      <c r="J18" s="33"/>
      <c r="K18" s="34"/>
    </row>
    <row r="19" spans="1:11" ht="15.75" x14ac:dyDescent="0.25">
      <c r="A19" s="35">
        <v>17</v>
      </c>
      <c r="B19" s="8" t="s">
        <v>23</v>
      </c>
      <c r="C19" s="25">
        <v>657.39</v>
      </c>
      <c r="D19">
        <v>0.15</v>
      </c>
      <c r="E19" s="36">
        <f>VLOOKUP(B19,'fixed cost'!$B$4:$H$116,7,0)</f>
        <v>1.046590227201031</v>
      </c>
      <c r="F19" s="36">
        <v>3.1368975280864806</v>
      </c>
      <c r="G19" s="31">
        <f>H19*(100%-I19)</f>
        <v>113.67429999999999</v>
      </c>
      <c r="H19" s="30">
        <v>117.19</v>
      </c>
      <c r="I19" s="32">
        <v>0.03</v>
      </c>
      <c r="J19" s="33"/>
      <c r="K19" s="31">
        <f>G19*J19</f>
        <v>0</v>
      </c>
    </row>
    <row r="20" spans="1:11" ht="15.75" x14ac:dyDescent="0.25">
      <c r="A20" s="35">
        <v>18</v>
      </c>
      <c r="B20" s="25" t="s">
        <v>17</v>
      </c>
      <c r="C20" s="25">
        <v>0</v>
      </c>
      <c r="D20" s="25">
        <v>0</v>
      </c>
      <c r="E20" s="36">
        <f>VLOOKUP(B20,'fixed cost'!$B$4:$H$116,7,0)</f>
        <v>1.046590227201031</v>
      </c>
      <c r="F20" s="36">
        <v>3.446139981399325</v>
      </c>
      <c r="G20" s="34">
        <v>0</v>
      </c>
      <c r="H20" s="30">
        <v>0</v>
      </c>
      <c r="I20" s="32">
        <v>0.03</v>
      </c>
      <c r="J20" s="33" t="s">
        <v>66</v>
      </c>
      <c r="K20" s="34">
        <v>0</v>
      </c>
    </row>
    <row r="21" spans="1:11" ht="15.75" x14ac:dyDescent="0.25">
      <c r="A21" s="35">
        <v>19</v>
      </c>
      <c r="B21" s="4" t="s">
        <v>104</v>
      </c>
      <c r="C21" s="25">
        <v>0</v>
      </c>
      <c r="D21" s="25">
        <v>0</v>
      </c>
      <c r="E21" s="36">
        <f>VLOOKUP(B21,'fixed cost'!$B$4:$H$116,7,0)</f>
        <v>1.046590227201031</v>
      </c>
      <c r="F21" s="36"/>
      <c r="G21" s="34"/>
      <c r="H21" s="30"/>
      <c r="I21" s="32"/>
      <c r="J21" s="33"/>
      <c r="K21" s="34"/>
    </row>
    <row r="22" spans="1:11" ht="15.75" x14ac:dyDescent="0.25">
      <c r="A22" s="35">
        <v>20</v>
      </c>
      <c r="B22" s="4" t="s">
        <v>181</v>
      </c>
      <c r="C22" s="25">
        <v>0</v>
      </c>
      <c r="D22" s="25">
        <v>0</v>
      </c>
      <c r="E22" s="36">
        <f>VLOOKUP(B22,'fixed cost'!$B$4:$H$116,7,0)</f>
        <v>1.046590227201031</v>
      </c>
      <c r="F22" s="36"/>
      <c r="G22" s="34"/>
      <c r="H22" s="30"/>
      <c r="I22" s="32"/>
      <c r="J22" s="33"/>
      <c r="K22" s="34"/>
    </row>
    <row r="23" spans="1:11" ht="15.75" x14ac:dyDescent="0.25">
      <c r="A23" s="35">
        <v>21</v>
      </c>
      <c r="B23" s="25" t="s">
        <v>46</v>
      </c>
      <c r="C23" s="25">
        <v>115</v>
      </c>
      <c r="D23" s="25">
        <v>57.5</v>
      </c>
      <c r="E23" s="36">
        <f>VLOOKUP(B23,'fixed cost'!$B$4:$H$116,7,0)</f>
        <v>0.11713568394308632</v>
      </c>
      <c r="F23" s="36">
        <v>0.223</v>
      </c>
      <c r="G23" s="31">
        <f>H23*(100%-I23)</f>
        <v>28.548749999999998</v>
      </c>
      <c r="H23" s="30">
        <f>115*0.25</f>
        <v>28.75</v>
      </c>
      <c r="I23" s="32">
        <v>7.0000000000000001E-3</v>
      </c>
      <c r="J23" s="33">
        <v>0.85</v>
      </c>
      <c r="K23" s="31">
        <f>G23*J23</f>
        <v>24.266437499999999</v>
      </c>
    </row>
    <row r="24" spans="1:11" ht="15.75" x14ac:dyDescent="0.25">
      <c r="A24" s="35">
        <v>22</v>
      </c>
      <c r="B24" s="25" t="s">
        <v>59</v>
      </c>
      <c r="C24" s="25">
        <v>1520</v>
      </c>
      <c r="D24" s="25">
        <v>1520</v>
      </c>
      <c r="E24" s="36">
        <f>VLOOKUP(B24,'fixed cost'!$B$4:$H$116,7,0)</f>
        <v>0</v>
      </c>
      <c r="F24" s="36">
        <v>1.9742222222222221</v>
      </c>
      <c r="G24" s="31">
        <f>H24*(100%-I24)</f>
        <v>376.2</v>
      </c>
      <c r="H24" s="30">
        <f>1520*0.25</f>
        <v>380</v>
      </c>
      <c r="I24" s="32">
        <v>0.01</v>
      </c>
      <c r="J24" s="33">
        <v>0.85</v>
      </c>
      <c r="K24" s="31">
        <f>G24*J24</f>
        <v>319.77</v>
      </c>
    </row>
    <row r="25" spans="1:11" ht="15.75" x14ac:dyDescent="0.25">
      <c r="A25" s="35">
        <v>23</v>
      </c>
      <c r="B25" s="25" t="s">
        <v>67</v>
      </c>
      <c r="C25" s="25">
        <v>99</v>
      </c>
      <c r="D25" s="25">
        <v>49.5</v>
      </c>
      <c r="E25" s="36">
        <f>VLOOKUP(B25,'fixed cost'!$B$4:$H$116,7,0)</f>
        <v>0</v>
      </c>
      <c r="F25" s="36">
        <v>1.51</v>
      </c>
      <c r="G25" s="34">
        <v>0</v>
      </c>
      <c r="H25" s="30">
        <v>0</v>
      </c>
      <c r="I25" s="34">
        <v>0</v>
      </c>
      <c r="J25" s="34">
        <v>0</v>
      </c>
      <c r="K25" s="34">
        <v>0</v>
      </c>
    </row>
    <row r="26" spans="1:11" ht="15.75" x14ac:dyDescent="0.25">
      <c r="A26" s="35">
        <v>24</v>
      </c>
      <c r="B26" s="25" t="s">
        <v>98</v>
      </c>
      <c r="C26" s="25">
        <v>600</v>
      </c>
      <c r="D26" s="25">
        <f>C26*30%</f>
        <v>180</v>
      </c>
      <c r="E26" s="36">
        <f>VLOOKUP(B26,'fixed cost'!$B$4:$H$116,7,0)</f>
        <v>1.7847333693842351</v>
      </c>
      <c r="F26" s="25"/>
      <c r="G26" s="31">
        <f t="shared" ref="G26:G33" si="2">H26*(100%-I26)</f>
        <v>169.2</v>
      </c>
      <c r="H26" s="30">
        <v>180</v>
      </c>
      <c r="I26" s="32">
        <v>0.06</v>
      </c>
      <c r="J26" s="33">
        <v>0.85</v>
      </c>
      <c r="K26" s="31">
        <f t="shared" ref="K26:K33" si="3">G26*J26</f>
        <v>143.82</v>
      </c>
    </row>
    <row r="27" spans="1:11" ht="15.75" x14ac:dyDescent="0.25">
      <c r="A27" s="35">
        <v>25</v>
      </c>
      <c r="B27" s="25" t="s">
        <v>38</v>
      </c>
      <c r="C27" s="25">
        <v>20</v>
      </c>
      <c r="D27" s="25">
        <v>20</v>
      </c>
      <c r="E27" s="36">
        <f>VLOOKUP(B27,'fixed cost'!$B$4:$H$116,7,0)</f>
        <v>0.69727628148256671</v>
      </c>
      <c r="F27" s="36">
        <v>0.84899999999999998</v>
      </c>
      <c r="G27" s="31">
        <f t="shared" si="2"/>
        <v>4.95</v>
      </c>
      <c r="H27" s="30">
        <v>5</v>
      </c>
      <c r="I27" s="32">
        <v>0.01</v>
      </c>
      <c r="J27" s="33">
        <v>0.85</v>
      </c>
      <c r="K27" s="31">
        <f t="shared" si="3"/>
        <v>4.2075000000000005</v>
      </c>
    </row>
    <row r="28" spans="1:11" ht="15.75" x14ac:dyDescent="0.25">
      <c r="A28" s="35">
        <v>26</v>
      </c>
      <c r="B28" s="25" t="s">
        <v>57</v>
      </c>
      <c r="C28" s="25">
        <v>500</v>
      </c>
      <c r="D28" s="25">
        <v>350</v>
      </c>
      <c r="E28" s="36">
        <f>VLOOKUP(B28,'fixed cost'!$B$4:$H$116,7,0)</f>
        <v>1.9099997211250694</v>
      </c>
      <c r="F28" s="36">
        <v>3.0230000000000001</v>
      </c>
      <c r="G28" s="31">
        <f t="shared" si="2"/>
        <v>320.25</v>
      </c>
      <c r="H28" s="30">
        <v>350</v>
      </c>
      <c r="I28" s="32">
        <v>8.5000000000000006E-2</v>
      </c>
      <c r="J28" s="33">
        <v>0.85</v>
      </c>
      <c r="K28" s="31">
        <f t="shared" si="3"/>
        <v>272.21249999999998</v>
      </c>
    </row>
    <row r="29" spans="1:11" ht="15.75" x14ac:dyDescent="0.25">
      <c r="A29" s="35">
        <v>27</v>
      </c>
      <c r="B29" s="25" t="s">
        <v>56</v>
      </c>
      <c r="C29" s="25">
        <v>1320</v>
      </c>
      <c r="D29" s="25">
        <v>495</v>
      </c>
      <c r="E29" s="36">
        <f>VLOOKUP(B29,'fixed cost'!$B$4:$H$116,7,0)</f>
        <v>1.7145488507633684</v>
      </c>
      <c r="F29" s="36">
        <v>0.73125170154454411</v>
      </c>
      <c r="G29" s="31">
        <f t="shared" si="2"/>
        <v>465.29999999999995</v>
      </c>
      <c r="H29" s="30">
        <v>495</v>
      </c>
      <c r="I29" s="32">
        <v>0.06</v>
      </c>
      <c r="J29" s="33">
        <v>0.85</v>
      </c>
      <c r="K29" s="31">
        <f t="shared" si="3"/>
        <v>395.50499999999994</v>
      </c>
    </row>
    <row r="30" spans="1:11" ht="15.75" x14ac:dyDescent="0.25">
      <c r="A30" s="35">
        <v>28</v>
      </c>
      <c r="B30" s="25" t="s">
        <v>27</v>
      </c>
      <c r="C30" s="25">
        <v>1500</v>
      </c>
      <c r="D30" s="25">
        <v>73.95</v>
      </c>
      <c r="E30" s="36">
        <f>VLOOKUP(B30,'fixed cost'!$B$4:$H$116,7,0)</f>
        <v>0.92016615713300831</v>
      </c>
      <c r="F30" s="36">
        <v>2.1224809734521273</v>
      </c>
      <c r="G30" s="31">
        <f t="shared" si="2"/>
        <v>69.19</v>
      </c>
      <c r="H30" s="30">
        <v>74</v>
      </c>
      <c r="I30" s="32">
        <v>6.5000000000000002E-2</v>
      </c>
      <c r="J30" s="33">
        <v>0.83</v>
      </c>
      <c r="K30" s="31">
        <f t="shared" si="3"/>
        <v>57.427699999999994</v>
      </c>
    </row>
    <row r="31" spans="1:11" ht="15.75" x14ac:dyDescent="0.25">
      <c r="A31" s="35">
        <v>35</v>
      </c>
      <c r="B31" s="147" t="s">
        <v>290</v>
      </c>
      <c r="C31" s="25">
        <v>0</v>
      </c>
      <c r="D31" s="25">
        <v>0</v>
      </c>
      <c r="E31" s="36">
        <f>E30</f>
        <v>0.92016615713300831</v>
      </c>
      <c r="F31" s="25">
        <f t="shared" ref="F31:K31" si="4">F3</f>
        <v>0</v>
      </c>
      <c r="G31" s="31">
        <f t="shared" si="4"/>
        <v>0</v>
      </c>
      <c r="H31" s="30">
        <f t="shared" si="4"/>
        <v>0</v>
      </c>
      <c r="I31" s="32">
        <f t="shared" si="4"/>
        <v>0</v>
      </c>
      <c r="J31" s="33">
        <f t="shared" si="4"/>
        <v>0</v>
      </c>
      <c r="K31" s="31">
        <f t="shared" si="4"/>
        <v>0</v>
      </c>
    </row>
    <row r="32" spans="1:11" ht="15.75" x14ac:dyDescent="0.25">
      <c r="A32" s="35">
        <v>36</v>
      </c>
      <c r="B32" s="59" t="s">
        <v>285</v>
      </c>
      <c r="C32" s="25">
        <v>0</v>
      </c>
      <c r="D32" s="25">
        <v>0</v>
      </c>
      <c r="E32" s="36">
        <f>E31</f>
        <v>0.92016615713300831</v>
      </c>
      <c r="F32" s="25"/>
      <c r="G32" s="31"/>
      <c r="H32" s="30"/>
      <c r="I32" s="32"/>
      <c r="J32" s="33"/>
      <c r="K32" s="31"/>
    </row>
    <row r="33" spans="1:11" ht="15.75" x14ac:dyDescent="0.25">
      <c r="A33" s="35">
        <v>29</v>
      </c>
      <c r="B33" s="25" t="s">
        <v>19</v>
      </c>
      <c r="C33" s="25">
        <v>656.2</v>
      </c>
      <c r="D33">
        <v>0.13</v>
      </c>
      <c r="E33" s="36">
        <f>VLOOKUP(B33,'fixed cost'!$B$4:$H$116,7,0)</f>
        <v>0.85915096311475081</v>
      </c>
      <c r="F33" s="36">
        <v>3.2044344250808914</v>
      </c>
      <c r="G33" s="31">
        <f t="shared" si="2"/>
        <v>135.95519999999999</v>
      </c>
      <c r="H33" s="30">
        <v>140.16</v>
      </c>
      <c r="I33" s="32">
        <v>0.03</v>
      </c>
      <c r="J33" s="33"/>
      <c r="K33" s="31">
        <f t="shared" si="3"/>
        <v>0</v>
      </c>
    </row>
    <row r="34" spans="1:11" ht="15.75" x14ac:dyDescent="0.25">
      <c r="A34" s="35">
        <v>30</v>
      </c>
      <c r="B34" s="4" t="s">
        <v>16</v>
      </c>
      <c r="C34" s="25">
        <v>0</v>
      </c>
      <c r="D34" s="25">
        <v>0</v>
      </c>
      <c r="E34" s="36">
        <f>VLOOKUP(B34,'fixed cost'!$B$4:$H$116,7,0)</f>
        <v>0.85915096311475081</v>
      </c>
      <c r="F34" s="36">
        <v>3.4906129763573599</v>
      </c>
      <c r="G34" s="34">
        <v>0</v>
      </c>
      <c r="H34" s="30">
        <v>0</v>
      </c>
      <c r="I34" s="32">
        <v>0.03</v>
      </c>
      <c r="J34" s="33" t="s">
        <v>66</v>
      </c>
      <c r="K34" s="34">
        <v>0</v>
      </c>
    </row>
    <row r="35" spans="1:11" ht="15.75" x14ac:dyDescent="0.25">
      <c r="A35" s="35">
        <v>31</v>
      </c>
      <c r="B35" s="4" t="s">
        <v>105</v>
      </c>
      <c r="C35" s="25">
        <v>0</v>
      </c>
      <c r="D35" s="25">
        <v>0</v>
      </c>
      <c r="E35" s="36">
        <f>VLOOKUP(B35,'fixed cost'!$B$4:$H$116,7,0)</f>
        <v>0.85915096311475081</v>
      </c>
      <c r="F35" s="36"/>
      <c r="G35" s="34"/>
      <c r="H35" s="30"/>
      <c r="I35" s="32"/>
      <c r="J35" s="33"/>
      <c r="K35" s="34"/>
    </row>
    <row r="36" spans="1:11" ht="15.75" x14ac:dyDescent="0.25">
      <c r="A36" s="35">
        <v>32</v>
      </c>
      <c r="B36" s="4" t="s">
        <v>182</v>
      </c>
      <c r="C36" s="25">
        <v>0</v>
      </c>
      <c r="D36" s="25">
        <v>0</v>
      </c>
      <c r="E36" s="36">
        <f>VLOOKUP(B36,'fixed cost'!$B$4:$H$116,7,0)</f>
        <v>0.85915096311475081</v>
      </c>
      <c r="F36" s="36"/>
      <c r="G36" s="34"/>
      <c r="H36" s="30"/>
      <c r="I36" s="32"/>
      <c r="J36" s="33"/>
      <c r="K36" s="34"/>
    </row>
    <row r="37" spans="1:11" ht="15.75" x14ac:dyDescent="0.25">
      <c r="A37" s="35">
        <v>33</v>
      </c>
      <c r="B37" s="8" t="s">
        <v>128</v>
      </c>
      <c r="C37" s="25">
        <v>0</v>
      </c>
      <c r="D37" s="25">
        <v>0</v>
      </c>
      <c r="E37" s="36">
        <f>VLOOKUP(B37,'fixed cost'!$B$4:$H$116,7,0)</f>
        <v>0.85915096311475081</v>
      </c>
      <c r="F37" s="36"/>
      <c r="G37" s="34"/>
      <c r="H37" s="30"/>
      <c r="I37" s="32"/>
      <c r="J37" s="33"/>
      <c r="K37" s="34"/>
    </row>
    <row r="38" spans="1:11" ht="15.75" x14ac:dyDescent="0.25">
      <c r="A38" s="35">
        <v>34</v>
      </c>
      <c r="B38" s="25" t="s">
        <v>36</v>
      </c>
      <c r="C38" s="25">
        <v>2100</v>
      </c>
      <c r="D38">
        <v>452.63</v>
      </c>
      <c r="E38" s="36">
        <f>VLOOKUP(B38,'fixed cost'!$B$4:$H$116,7,0)</f>
        <v>0.7550673162927084</v>
      </c>
      <c r="F38" s="36">
        <v>1.0249717668518303</v>
      </c>
      <c r="G38" s="31">
        <f>H38*(100%-I38)</f>
        <v>446.61682799999994</v>
      </c>
      <c r="H38" s="30">
        <v>481.32</v>
      </c>
      <c r="I38" s="32">
        <v>7.2099999999999997E-2</v>
      </c>
      <c r="J38" s="33">
        <v>0.83</v>
      </c>
      <c r="K38" s="31">
        <f>G38*J38</f>
        <v>370.69196723999994</v>
      </c>
    </row>
    <row r="39" spans="1:11" ht="15.75" x14ac:dyDescent="0.25">
      <c r="A39" s="35">
        <v>35</v>
      </c>
      <c r="B39" s="147" t="s">
        <v>197</v>
      </c>
      <c r="C39" s="25">
        <v>0</v>
      </c>
      <c r="D39" s="25">
        <v>0</v>
      </c>
      <c r="E39" s="36">
        <f>E38</f>
        <v>0.7550673162927084</v>
      </c>
      <c r="F39" s="25">
        <f t="shared" ref="F39:K39" si="5">F11</f>
        <v>0.67400000000000004</v>
      </c>
      <c r="G39" s="31">
        <f t="shared" si="5"/>
        <v>0</v>
      </c>
      <c r="H39" s="30">
        <f t="shared" si="5"/>
        <v>0</v>
      </c>
      <c r="I39" s="32">
        <f t="shared" si="5"/>
        <v>0.01</v>
      </c>
      <c r="J39" s="33">
        <f t="shared" si="5"/>
        <v>0.85</v>
      </c>
      <c r="K39" s="31">
        <f t="shared" si="5"/>
        <v>0</v>
      </c>
    </row>
    <row r="40" spans="1:11" ht="15.75" x14ac:dyDescent="0.25">
      <c r="A40" s="35">
        <v>36</v>
      </c>
      <c r="B40" s="59" t="s">
        <v>221</v>
      </c>
      <c r="C40" s="25">
        <v>0</v>
      </c>
      <c r="D40" s="25">
        <v>0</v>
      </c>
      <c r="E40" s="36">
        <f>E39</f>
        <v>0.7550673162927084</v>
      </c>
      <c r="F40" s="25"/>
      <c r="G40" s="31"/>
      <c r="H40" s="30"/>
      <c r="I40" s="32"/>
      <c r="J40" s="33"/>
      <c r="K40" s="31"/>
    </row>
    <row r="41" spans="1:11" ht="15.75" x14ac:dyDescent="0.25">
      <c r="A41" s="35">
        <v>37</v>
      </c>
      <c r="B41" s="25" t="s">
        <v>37</v>
      </c>
      <c r="C41" s="25">
        <v>500</v>
      </c>
      <c r="D41">
        <v>62.5</v>
      </c>
      <c r="E41" s="36">
        <f>VLOOKUP(B41,'fixed cost'!$B$4:$H$116,7,0)</f>
        <v>1.1259323539742558</v>
      </c>
      <c r="F41" s="36">
        <v>1.0135601378686621</v>
      </c>
      <c r="G41" s="31">
        <f>H41*(100%-I41)</f>
        <v>71.106750000000005</v>
      </c>
      <c r="H41" s="30">
        <v>76.05</v>
      </c>
      <c r="I41" s="32">
        <v>6.5000000000000002E-2</v>
      </c>
      <c r="J41" s="33">
        <v>0.83</v>
      </c>
      <c r="K41" s="31">
        <f>G41*J41</f>
        <v>59.0186025</v>
      </c>
    </row>
    <row r="42" spans="1:11" ht="15.75" x14ac:dyDescent="0.25">
      <c r="A42" s="35">
        <v>38</v>
      </c>
      <c r="B42" s="147" t="s">
        <v>198</v>
      </c>
      <c r="C42" s="25">
        <v>0</v>
      </c>
      <c r="D42" s="25">
        <v>0</v>
      </c>
      <c r="E42" s="36">
        <f>E41</f>
        <v>1.1259323539742558</v>
      </c>
      <c r="F42" s="101">
        <f>F41</f>
        <v>1.0135601378686621</v>
      </c>
      <c r="G42" s="31">
        <f t="shared" ref="G42:K42" si="6">G11</f>
        <v>0</v>
      </c>
      <c r="H42" s="30">
        <f t="shared" si="6"/>
        <v>0</v>
      </c>
      <c r="I42" s="32">
        <f t="shared" si="6"/>
        <v>0.01</v>
      </c>
      <c r="J42" s="33">
        <f t="shared" si="6"/>
        <v>0.85</v>
      </c>
      <c r="K42" s="31">
        <f t="shared" si="6"/>
        <v>0</v>
      </c>
    </row>
    <row r="43" spans="1:11" ht="15.75" x14ac:dyDescent="0.25">
      <c r="A43" s="35">
        <v>39</v>
      </c>
      <c r="B43" s="59" t="s">
        <v>210</v>
      </c>
      <c r="C43" s="25">
        <v>0</v>
      </c>
      <c r="D43" s="25">
        <v>0</v>
      </c>
      <c r="E43" s="36">
        <f>E42</f>
        <v>1.1259323539742558</v>
      </c>
      <c r="F43" s="101"/>
      <c r="G43" s="31"/>
      <c r="H43" s="30"/>
      <c r="I43" s="32"/>
      <c r="J43" s="33"/>
      <c r="K43" s="31"/>
    </row>
    <row r="44" spans="1:11" ht="15.75" x14ac:dyDescent="0.25">
      <c r="A44" s="35">
        <v>40</v>
      </c>
      <c r="B44" s="25" t="s">
        <v>175</v>
      </c>
      <c r="C44" s="25">
        <f>660*2</f>
        <v>1320</v>
      </c>
      <c r="D44">
        <v>660</v>
      </c>
      <c r="E44" s="36">
        <f>VLOOKUP(B44,'fixed cost'!$B$4:$H$116,7,0)</f>
        <v>2.0731460875671606</v>
      </c>
      <c r="F44" s="101"/>
      <c r="G44" s="31"/>
      <c r="H44" s="30"/>
      <c r="I44" s="32"/>
      <c r="J44" s="33"/>
      <c r="K44" s="31"/>
    </row>
    <row r="45" spans="1:11" ht="15.75" x14ac:dyDescent="0.25">
      <c r="A45" s="35">
        <v>41</v>
      </c>
      <c r="B45" s="4" t="s">
        <v>306</v>
      </c>
      <c r="C45" s="25">
        <v>273</v>
      </c>
      <c r="D45" s="25">
        <v>273</v>
      </c>
      <c r="E45" s="36">
        <f>VLOOKUP(B45,'fixed cost'!$B$4:$H$116,7,0)</f>
        <v>1.0332759728408398</v>
      </c>
      <c r="F45" s="36">
        <v>1.8512878927469694</v>
      </c>
      <c r="G45" s="31">
        <f t="shared" ref="G45:G51" si="7">H45*(100%-I45)</f>
        <v>136.5</v>
      </c>
      <c r="H45" s="30">
        <v>150</v>
      </c>
      <c r="I45" s="32">
        <v>0.09</v>
      </c>
      <c r="J45" s="33">
        <v>0.85</v>
      </c>
      <c r="K45" s="31">
        <f t="shared" ref="K45:K51" si="8">G45*J45</f>
        <v>116.02499999999999</v>
      </c>
    </row>
    <row r="46" spans="1:11" ht="15.75" x14ac:dyDescent="0.25">
      <c r="A46" s="35">
        <v>42</v>
      </c>
      <c r="B46" s="142" t="s">
        <v>304</v>
      </c>
      <c r="C46" s="25">
        <v>0</v>
      </c>
      <c r="D46" s="25">
        <v>0</v>
      </c>
      <c r="E46" s="36">
        <f>VLOOKUP(B46,'fixed cost'!$B$4:$H$116,7,0)</f>
        <v>1.0332759728408398</v>
      </c>
      <c r="F46" s="36">
        <v>1.8512878927469694</v>
      </c>
      <c r="G46" s="31">
        <f t="shared" si="7"/>
        <v>136.5</v>
      </c>
      <c r="H46" s="30">
        <v>150</v>
      </c>
      <c r="I46" s="32">
        <v>0.09</v>
      </c>
      <c r="J46" s="33">
        <v>0.85</v>
      </c>
      <c r="K46" s="31">
        <f t="shared" si="8"/>
        <v>116.02499999999999</v>
      </c>
    </row>
    <row r="47" spans="1:11" ht="15.75" x14ac:dyDescent="0.25">
      <c r="A47" s="35">
        <v>43</v>
      </c>
      <c r="B47" s="142" t="s">
        <v>305</v>
      </c>
      <c r="C47" s="25">
        <v>0</v>
      </c>
      <c r="D47" s="25">
        <v>0</v>
      </c>
      <c r="E47" s="36">
        <f>E46</f>
        <v>1.0332759728408398</v>
      </c>
      <c r="F47" s="36"/>
      <c r="G47" s="31"/>
      <c r="H47" s="30"/>
      <c r="I47" s="32"/>
      <c r="J47" s="33"/>
      <c r="K47" s="31"/>
    </row>
    <row r="48" spans="1:11" ht="15.75" x14ac:dyDescent="0.25">
      <c r="A48" s="35">
        <v>43</v>
      </c>
      <c r="B48" s="25" t="s">
        <v>58</v>
      </c>
      <c r="C48" s="25">
        <v>60</v>
      </c>
      <c r="D48" s="25">
        <v>60</v>
      </c>
      <c r="E48" s="36">
        <f>VLOOKUP(B48,'fixed cost'!$B$4:$H$116,7,0)</f>
        <v>0.47185979230029734</v>
      </c>
      <c r="F48" s="36">
        <v>2.3010000000000002</v>
      </c>
      <c r="G48" s="31">
        <f t="shared" si="7"/>
        <v>14.85</v>
      </c>
      <c r="H48" s="30">
        <v>15</v>
      </c>
      <c r="I48" s="32">
        <v>0.01</v>
      </c>
      <c r="J48" s="33">
        <v>0.85</v>
      </c>
      <c r="K48" s="31">
        <f t="shared" si="8"/>
        <v>12.622499999999999</v>
      </c>
    </row>
    <row r="49" spans="1:12" ht="15.75" x14ac:dyDescent="0.25">
      <c r="A49" s="35">
        <v>44</v>
      </c>
      <c r="B49" s="25" t="s">
        <v>18</v>
      </c>
      <c r="C49" s="25">
        <v>1000</v>
      </c>
      <c r="D49">
        <v>169.12</v>
      </c>
      <c r="E49" s="36">
        <f>VLOOKUP(B49,'fixed cost'!$B$4:$H$116,7,0)</f>
        <v>1.6931572396408874</v>
      </c>
      <c r="F49" s="36">
        <v>3.1568715450709708</v>
      </c>
      <c r="G49" s="31">
        <f t="shared" si="7"/>
        <v>171.65665000000001</v>
      </c>
      <c r="H49" s="30">
        <v>183.59</v>
      </c>
      <c r="I49" s="32">
        <v>6.5000000000000002E-2</v>
      </c>
      <c r="J49" s="33">
        <v>0.83</v>
      </c>
      <c r="K49" s="31">
        <f t="shared" si="8"/>
        <v>142.4750195</v>
      </c>
      <c r="L49" s="16">
        <f>183.57-156.41</f>
        <v>27.159999999999997</v>
      </c>
    </row>
    <row r="50" spans="1:12" ht="15.75" x14ac:dyDescent="0.25">
      <c r="A50" s="35">
        <v>45</v>
      </c>
      <c r="B50" s="4" t="s">
        <v>103</v>
      </c>
      <c r="C50" s="25">
        <f>660*2</f>
        <v>1320</v>
      </c>
      <c r="D50">
        <v>235.04</v>
      </c>
      <c r="E50" s="36">
        <f>VLOOKUP(B50,'fixed cost'!$B$4:$H$116,7,0)</f>
        <v>1.5812064046246714</v>
      </c>
      <c r="F50" s="36">
        <v>3.1568715450709708</v>
      </c>
      <c r="G50" s="31">
        <f t="shared" si="7"/>
        <v>173.03357500000001</v>
      </c>
      <c r="H50" s="30">
        <v>183.59</v>
      </c>
      <c r="I50" s="32">
        <v>5.7500000000000002E-2</v>
      </c>
      <c r="J50" s="33">
        <v>0.83</v>
      </c>
      <c r="K50" s="31">
        <f t="shared" si="8"/>
        <v>143.61786725000002</v>
      </c>
      <c r="L50" s="16">
        <f>232.57-211.6</f>
        <v>20.97</v>
      </c>
    </row>
    <row r="51" spans="1:12" ht="15.75" x14ac:dyDescent="0.25">
      <c r="A51" s="35">
        <v>46</v>
      </c>
      <c r="B51" s="25" t="s">
        <v>70</v>
      </c>
      <c r="C51" s="25">
        <v>1200</v>
      </c>
      <c r="D51" s="25">
        <f>C51*35%</f>
        <v>420</v>
      </c>
      <c r="E51" s="36">
        <f>VLOOKUP(B51,'fixed cost'!$B$4:$H$116,7,0)</f>
        <v>1.6776554152863581</v>
      </c>
      <c r="F51" s="25"/>
      <c r="G51" s="31">
        <f t="shared" si="7"/>
        <v>197.39999999999998</v>
      </c>
      <c r="H51" s="30">
        <v>210</v>
      </c>
      <c r="I51" s="32">
        <v>0.06</v>
      </c>
      <c r="J51" s="33">
        <v>0.85</v>
      </c>
      <c r="K51" s="31">
        <f t="shared" si="8"/>
        <v>167.78999999999996</v>
      </c>
    </row>
    <row r="52" spans="1:12" ht="15.75" x14ac:dyDescent="0.25">
      <c r="A52" s="35">
        <v>47</v>
      </c>
      <c r="B52" s="4" t="s">
        <v>106</v>
      </c>
      <c r="C52" s="25">
        <v>600</v>
      </c>
      <c r="D52" s="25">
        <f>C52*35%</f>
        <v>210</v>
      </c>
      <c r="E52" s="36">
        <f>VLOOKUP(B52,'fixed cost'!$B$4:$H$116,7,0)</f>
        <v>1.5264699487100777</v>
      </c>
      <c r="F52" s="25"/>
      <c r="G52" s="31"/>
      <c r="H52" s="30"/>
      <c r="I52" s="32"/>
      <c r="J52" s="33"/>
      <c r="K52" s="31"/>
    </row>
    <row r="53" spans="1:12" ht="15.75" x14ac:dyDescent="0.25">
      <c r="A53" s="35">
        <v>48</v>
      </c>
      <c r="B53" s="4" t="s">
        <v>101</v>
      </c>
      <c r="C53" s="25">
        <v>10</v>
      </c>
      <c r="D53" s="25">
        <v>10</v>
      </c>
      <c r="E53" s="36">
        <f>VLOOKUP(B53,'fixed cost'!$B$4:$H$116,7,0)</f>
        <v>1.88</v>
      </c>
      <c r="F53" s="25"/>
      <c r="G53" s="31"/>
      <c r="H53" s="30"/>
      <c r="I53" s="32"/>
      <c r="J53" s="33"/>
      <c r="K53" s="31"/>
    </row>
    <row r="54" spans="1:12" ht="15.75" x14ac:dyDescent="0.25">
      <c r="A54" s="35">
        <v>49</v>
      </c>
      <c r="B54" s="4" t="s">
        <v>179</v>
      </c>
      <c r="C54" s="1">
        <v>12</v>
      </c>
      <c r="D54" s="15">
        <v>12</v>
      </c>
      <c r="E54" s="36">
        <f>VLOOKUP(B54,'fixed cost'!$B$4:$H$116,7,0)</f>
        <v>1.88</v>
      </c>
      <c r="F54" s="25"/>
      <c r="G54" s="31"/>
      <c r="H54" s="30"/>
      <c r="I54" s="32"/>
      <c r="J54" s="33"/>
      <c r="K54" s="31"/>
    </row>
    <row r="55" spans="1:12" ht="15.75" x14ac:dyDescent="0.25">
      <c r="A55" s="35">
        <v>50</v>
      </c>
      <c r="B55" s="25" t="s">
        <v>45</v>
      </c>
      <c r="C55" s="25">
        <v>160</v>
      </c>
      <c r="D55" s="25">
        <v>160</v>
      </c>
      <c r="E55" s="36">
        <f>VLOOKUP(B55,'fixed cost'!$B$4:$H$116,7,0)</f>
        <v>0.20528455739040566</v>
      </c>
      <c r="F55" s="36">
        <v>0.50900000000000001</v>
      </c>
      <c r="G55" s="31">
        <f>H55*(100%-I55)</f>
        <v>39.64</v>
      </c>
      <c r="H55" s="30">
        <f>160*0.25</f>
        <v>40</v>
      </c>
      <c r="I55" s="32">
        <v>8.9999999999999993E-3</v>
      </c>
      <c r="J55" s="33">
        <v>0.85</v>
      </c>
      <c r="K55" s="31">
        <f>G55*J55</f>
        <v>33.694000000000003</v>
      </c>
    </row>
    <row r="56" spans="1:12" ht="15.75" x14ac:dyDescent="0.25">
      <c r="A56" s="35">
        <v>51</v>
      </c>
      <c r="B56" s="25" t="s">
        <v>68</v>
      </c>
      <c r="C56" s="25">
        <v>172</v>
      </c>
      <c r="D56" s="25">
        <v>86</v>
      </c>
      <c r="E56" s="36">
        <f>VLOOKUP(B56,'fixed cost'!$B$4:$H$116,7,0)</f>
        <v>0</v>
      </c>
      <c r="F56" s="36">
        <v>1.51</v>
      </c>
      <c r="G56" s="34">
        <v>0</v>
      </c>
      <c r="H56" s="30">
        <v>0</v>
      </c>
      <c r="I56" s="34">
        <v>0</v>
      </c>
      <c r="J56" s="34">
        <v>0</v>
      </c>
      <c r="K56" s="34">
        <v>0</v>
      </c>
    </row>
    <row r="57" spans="1:12" ht="15.75" x14ac:dyDescent="0.25">
      <c r="A57" s="35">
        <v>52</v>
      </c>
      <c r="B57" s="25" t="s">
        <v>35</v>
      </c>
      <c r="C57" s="25">
        <v>45</v>
      </c>
      <c r="D57" s="25">
        <v>45</v>
      </c>
      <c r="E57" s="36">
        <f>VLOOKUP(B57,'fixed cost'!$B$4:$H$116,7,0)</f>
        <v>0.30641479105979064</v>
      </c>
      <c r="F57" s="36">
        <v>1.931</v>
      </c>
      <c r="G57" s="31">
        <f>H57*(100%-I57)</f>
        <v>4.95</v>
      </c>
      <c r="H57" s="30">
        <v>5</v>
      </c>
      <c r="I57" s="32">
        <v>0.01</v>
      </c>
      <c r="J57" s="33">
        <v>0.85</v>
      </c>
      <c r="K57" s="31">
        <f>G57*J57</f>
        <v>4.2075000000000005</v>
      </c>
    </row>
    <row r="58" spans="1:12" ht="15.75" x14ac:dyDescent="0.25">
      <c r="A58" s="35">
        <v>53</v>
      </c>
      <c r="B58" s="25" t="s">
        <v>43</v>
      </c>
      <c r="C58" s="25">
        <v>3960</v>
      </c>
      <c r="D58" s="25">
        <v>1485</v>
      </c>
      <c r="E58" s="36">
        <f>VLOOKUP(B58,'fixed cost'!$B$4:$H$116,7,0)</f>
        <v>0.16570016000000001</v>
      </c>
      <c r="F58" s="36">
        <v>1.1926189708227368</v>
      </c>
      <c r="G58" s="31">
        <f>H58*(100%-I58)</f>
        <v>1395.8999999999999</v>
      </c>
      <c r="H58" s="30">
        <v>1485</v>
      </c>
      <c r="I58" s="32">
        <v>0.06</v>
      </c>
      <c r="J58" s="33">
        <v>0.85</v>
      </c>
      <c r="K58" s="31">
        <f>G58*J58</f>
        <v>1186.5149999999999</v>
      </c>
    </row>
    <row r="59" spans="1:12" ht="15.75" x14ac:dyDescent="0.25">
      <c r="A59" s="35">
        <v>54</v>
      </c>
      <c r="B59" s="25" t="s">
        <v>25</v>
      </c>
      <c r="C59" s="25">
        <v>500</v>
      </c>
      <c r="D59" s="25">
        <v>500</v>
      </c>
      <c r="E59" s="36">
        <f>VLOOKUP(B59,'fixed cost'!$B$4:$H$116,7,0)</f>
        <v>0.90705778332553177</v>
      </c>
      <c r="F59" s="36">
        <v>2.64</v>
      </c>
      <c r="G59" s="31">
        <f>H59*(100%-I59)</f>
        <v>470</v>
      </c>
      <c r="H59" s="30">
        <v>500</v>
      </c>
      <c r="I59" s="32">
        <v>0.06</v>
      </c>
      <c r="J59" s="33">
        <v>0.85</v>
      </c>
      <c r="K59" s="31">
        <f>G59*J59</f>
        <v>399.5</v>
      </c>
    </row>
    <row r="60" spans="1:12" ht="15.75" x14ac:dyDescent="0.25">
      <c r="A60" s="35">
        <v>55</v>
      </c>
      <c r="B60" s="147" t="s">
        <v>199</v>
      </c>
      <c r="C60" s="25">
        <f>C8</f>
        <v>30</v>
      </c>
      <c r="D60" s="25">
        <v>0</v>
      </c>
      <c r="E60" s="36">
        <f>E59</f>
        <v>0.90705778332553177</v>
      </c>
      <c r="F60" s="25">
        <f t="shared" ref="F60:K60" si="9">F8</f>
        <v>0.57799999999999996</v>
      </c>
      <c r="G60" s="31">
        <f t="shared" si="9"/>
        <v>9.9</v>
      </c>
      <c r="H60" s="30">
        <f t="shared" si="9"/>
        <v>10</v>
      </c>
      <c r="I60" s="32">
        <f t="shared" si="9"/>
        <v>0.01</v>
      </c>
      <c r="J60" s="33">
        <f t="shared" si="9"/>
        <v>0.9</v>
      </c>
      <c r="K60" s="31">
        <f t="shared" si="9"/>
        <v>8.91</v>
      </c>
    </row>
    <row r="61" spans="1:12" ht="15.75" x14ac:dyDescent="0.25">
      <c r="A61" s="35">
        <v>56</v>
      </c>
      <c r="B61" s="59" t="s">
        <v>211</v>
      </c>
      <c r="C61" s="25">
        <v>0</v>
      </c>
      <c r="D61" s="25">
        <v>0</v>
      </c>
      <c r="E61" s="36">
        <f>E60</f>
        <v>0.90705778332553177</v>
      </c>
      <c r="F61" s="25"/>
      <c r="G61" s="31"/>
      <c r="H61" s="30"/>
      <c r="I61" s="32"/>
      <c r="J61" s="33"/>
      <c r="K61" s="31"/>
    </row>
    <row r="62" spans="1:12" ht="15.75" x14ac:dyDescent="0.25">
      <c r="A62" s="35">
        <v>57</v>
      </c>
      <c r="B62" s="25" t="s">
        <v>22</v>
      </c>
      <c r="C62" s="25">
        <v>840</v>
      </c>
      <c r="D62" s="25">
        <v>840</v>
      </c>
      <c r="E62" s="36">
        <f>VLOOKUP(B62,'fixed cost'!$B$4:$H$116,7,0)</f>
        <v>1.0462155118262422</v>
      </c>
      <c r="F62" s="36">
        <v>3.1360000000000001</v>
      </c>
      <c r="G62" s="31">
        <f>H62*(100%-I62)</f>
        <v>764.4</v>
      </c>
      <c r="H62" s="30">
        <v>840</v>
      </c>
      <c r="I62" s="32">
        <v>0.09</v>
      </c>
      <c r="J62" s="33">
        <v>0.8</v>
      </c>
      <c r="K62" s="31">
        <f>G62*J62</f>
        <v>611.52</v>
      </c>
    </row>
    <row r="63" spans="1:12" ht="15.75" x14ac:dyDescent="0.25">
      <c r="A63" s="35">
        <v>58</v>
      </c>
      <c r="B63" s="25" t="s">
        <v>29</v>
      </c>
      <c r="C63" s="25">
        <v>1980</v>
      </c>
      <c r="D63">
        <v>283</v>
      </c>
      <c r="E63" s="36">
        <f>VLOOKUP(B63,'fixed cost'!$B$4:$H$116,7,0)</f>
        <v>1.2557147073249215</v>
      </c>
      <c r="F63" s="36">
        <v>1.5598674472719278</v>
      </c>
      <c r="G63" s="31">
        <f>H63*(100%-I63)</f>
        <v>314.89865000000003</v>
      </c>
      <c r="H63" s="30">
        <v>336.79</v>
      </c>
      <c r="I63" s="32">
        <v>6.5000000000000002E-2</v>
      </c>
      <c r="J63" s="33">
        <v>0.83</v>
      </c>
      <c r="K63" s="31">
        <f>G63*J63</f>
        <v>261.36587950000001</v>
      </c>
    </row>
    <row r="64" spans="1:12" ht="15.75" x14ac:dyDescent="0.25">
      <c r="A64" s="35">
        <v>59</v>
      </c>
      <c r="B64" s="147" t="s">
        <v>200</v>
      </c>
      <c r="C64" s="25">
        <v>0</v>
      </c>
      <c r="D64" s="25">
        <v>0</v>
      </c>
      <c r="E64" s="36">
        <f>E63</f>
        <v>1.2557147073249215</v>
      </c>
      <c r="F64" s="25">
        <f t="shared" ref="F64:K64" si="10">F26</f>
        <v>0</v>
      </c>
      <c r="G64" s="31">
        <f t="shared" si="10"/>
        <v>169.2</v>
      </c>
      <c r="H64" s="30">
        <f t="shared" si="10"/>
        <v>180</v>
      </c>
      <c r="I64" s="32">
        <f t="shared" si="10"/>
        <v>0.06</v>
      </c>
      <c r="J64" s="33">
        <f t="shared" si="10"/>
        <v>0.85</v>
      </c>
      <c r="K64" s="31">
        <f t="shared" si="10"/>
        <v>143.82</v>
      </c>
    </row>
    <row r="65" spans="1:11" ht="15.75" x14ac:dyDescent="0.25">
      <c r="A65" s="35">
        <v>60</v>
      </c>
      <c r="B65" s="59" t="s">
        <v>212</v>
      </c>
      <c r="C65" s="25">
        <v>0</v>
      </c>
      <c r="D65" s="25">
        <v>0</v>
      </c>
      <c r="E65" s="36">
        <f>E64</f>
        <v>1.2557147073249215</v>
      </c>
      <c r="F65" s="25"/>
      <c r="G65" s="31"/>
      <c r="H65" s="30"/>
      <c r="I65" s="32"/>
      <c r="J65" s="33"/>
      <c r="K65" s="31"/>
    </row>
    <row r="66" spans="1:11" ht="15.75" x14ac:dyDescent="0.25">
      <c r="A66" s="35">
        <v>61</v>
      </c>
      <c r="B66" s="25" t="s">
        <v>28</v>
      </c>
      <c r="C66" s="25">
        <v>1000</v>
      </c>
      <c r="D66">
        <v>168.47</v>
      </c>
      <c r="E66" s="36">
        <f>VLOOKUP(B66,'fixed cost'!$B$4:$H$116,7,0)</f>
        <v>0.98415242264196123</v>
      </c>
      <c r="F66" s="36">
        <v>1.5494613935876589</v>
      </c>
      <c r="G66" s="31">
        <f>H66*(100%-I66)</f>
        <v>174.7328</v>
      </c>
      <c r="H66" s="30">
        <v>186.88</v>
      </c>
      <c r="I66" s="32">
        <v>6.5000000000000002E-2</v>
      </c>
      <c r="J66" s="33">
        <v>0.83</v>
      </c>
      <c r="K66" s="31">
        <f>G66*J66</f>
        <v>145.02822399999999</v>
      </c>
    </row>
    <row r="67" spans="1:11" ht="15.75" x14ac:dyDescent="0.25">
      <c r="A67" s="35">
        <v>62</v>
      </c>
      <c r="B67" s="147" t="s">
        <v>201</v>
      </c>
      <c r="C67" s="25">
        <v>0</v>
      </c>
      <c r="D67" s="25">
        <v>0</v>
      </c>
      <c r="E67" s="36">
        <f>E66</f>
        <v>0.98415242264196123</v>
      </c>
      <c r="F67" s="25">
        <f t="shared" ref="F67:K67" si="11">F30</f>
        <v>2.1224809734521273</v>
      </c>
      <c r="G67" s="31">
        <f t="shared" si="11"/>
        <v>69.19</v>
      </c>
      <c r="H67" s="30">
        <f t="shared" si="11"/>
        <v>74</v>
      </c>
      <c r="I67" s="32">
        <f t="shared" si="11"/>
        <v>6.5000000000000002E-2</v>
      </c>
      <c r="J67" s="33">
        <f t="shared" si="11"/>
        <v>0.83</v>
      </c>
      <c r="K67" s="31">
        <f t="shared" si="11"/>
        <v>57.427699999999994</v>
      </c>
    </row>
    <row r="68" spans="1:11" ht="15.75" x14ac:dyDescent="0.25">
      <c r="A68" s="35">
        <v>63</v>
      </c>
      <c r="B68" s="59" t="s">
        <v>213</v>
      </c>
      <c r="C68" s="25">
        <v>0</v>
      </c>
      <c r="D68" s="25">
        <v>0</v>
      </c>
      <c r="E68" s="36">
        <f>E67</f>
        <v>0.98415242264196123</v>
      </c>
      <c r="F68" s="25"/>
      <c r="G68" s="31"/>
      <c r="H68" s="30"/>
      <c r="I68" s="32"/>
      <c r="J68" s="33"/>
      <c r="K68" s="31"/>
    </row>
    <row r="69" spans="1:11" ht="15.75" x14ac:dyDescent="0.25">
      <c r="A69" s="35">
        <v>64</v>
      </c>
      <c r="B69" s="25" t="s">
        <v>40</v>
      </c>
      <c r="C69" s="25">
        <v>1450</v>
      </c>
      <c r="D69" s="25">
        <v>826.5</v>
      </c>
      <c r="E69" s="36">
        <f>VLOOKUP(B69,'fixed cost'!$B$4:$H$116,7,0)</f>
        <v>0.29345573890617621</v>
      </c>
      <c r="F69" s="36">
        <v>0.8491239269894495</v>
      </c>
      <c r="G69" s="31">
        <f>H69*(100%-I69)</f>
        <v>163.31640000000002</v>
      </c>
      <c r="H69" s="30">
        <f>826.5*0.2</f>
        <v>165.3</v>
      </c>
      <c r="I69" s="32">
        <v>1.2E-2</v>
      </c>
      <c r="J69" s="33">
        <v>0.85</v>
      </c>
      <c r="K69" s="31">
        <f t="shared" ref="K69:K92" si="12">G69*J69</f>
        <v>138.81894</v>
      </c>
    </row>
    <row r="70" spans="1:11" ht="15.75" x14ac:dyDescent="0.25">
      <c r="A70" s="35">
        <v>65</v>
      </c>
      <c r="B70" s="25" t="s">
        <v>54</v>
      </c>
      <c r="C70" s="25">
        <v>1200</v>
      </c>
      <c r="D70" s="25">
        <v>1200</v>
      </c>
      <c r="E70" s="36">
        <f>VLOOKUP(B70,'fixed cost'!$B$4:$H$116,7,0)</f>
        <v>1.3029503554386159</v>
      </c>
      <c r="F70" s="36">
        <v>2.6560000000000001</v>
      </c>
      <c r="G70" s="31">
        <f t="shared" ref="G70:G92" si="13">H70*(100%-I70)</f>
        <v>1128</v>
      </c>
      <c r="H70" s="30">
        <v>1200</v>
      </c>
      <c r="I70" s="32">
        <v>0.06</v>
      </c>
      <c r="J70" s="33">
        <v>0.85</v>
      </c>
      <c r="K70" s="31">
        <f t="shared" si="12"/>
        <v>958.8</v>
      </c>
    </row>
    <row r="71" spans="1:11" ht="15.75" x14ac:dyDescent="0.25">
      <c r="A71" s="35">
        <v>66</v>
      </c>
      <c r="B71" s="4" t="s">
        <v>167</v>
      </c>
      <c r="C71" s="25">
        <f>660*2</f>
        <v>1320</v>
      </c>
      <c r="D71" s="25">
        <f>660*2</f>
        <v>1320</v>
      </c>
      <c r="E71" s="36">
        <f>VLOOKUP(B71,'fixed cost'!$B$4:$H$116,7,0)</f>
        <v>1.2692732690509789</v>
      </c>
      <c r="F71" s="36"/>
      <c r="G71" s="31"/>
      <c r="H71" s="30"/>
      <c r="I71" s="32"/>
      <c r="J71" s="33"/>
      <c r="K71" s="31"/>
    </row>
    <row r="72" spans="1:11" ht="15.75" x14ac:dyDescent="0.25">
      <c r="A72" s="35">
        <v>67</v>
      </c>
      <c r="B72" s="25" t="s">
        <v>50</v>
      </c>
      <c r="C72" s="25">
        <v>830</v>
      </c>
      <c r="D72" s="25">
        <v>0</v>
      </c>
      <c r="E72" s="36">
        <f>VLOOKUP(B72,'fixed cost'!$B$4:$H$116,7,0)</f>
        <v>0.88498081621259272</v>
      </c>
      <c r="F72" s="36">
        <v>3.036</v>
      </c>
      <c r="G72" s="31">
        <f t="shared" si="13"/>
        <v>749.2410000000001</v>
      </c>
      <c r="H72" s="30">
        <v>830</v>
      </c>
      <c r="I72" s="32">
        <v>9.7299999999999998E-2</v>
      </c>
      <c r="J72" s="33">
        <v>0.76370000000000005</v>
      </c>
      <c r="K72" s="31">
        <f t="shared" si="12"/>
        <v>572.19535170000006</v>
      </c>
    </row>
    <row r="73" spans="1:11" ht="15.75" x14ac:dyDescent="0.25">
      <c r="A73" s="35">
        <v>68</v>
      </c>
      <c r="B73" s="25" t="s">
        <v>60</v>
      </c>
      <c r="C73" s="25">
        <v>500</v>
      </c>
      <c r="D73" s="25">
        <v>500</v>
      </c>
      <c r="E73" s="36">
        <f>VLOOKUP(B73,'fixed cost'!$B$4:$H$116,7,0)</f>
        <v>1.7914338427937986</v>
      </c>
      <c r="F73" s="36">
        <v>2.6389999999999998</v>
      </c>
      <c r="G73" s="31">
        <f t="shared" si="13"/>
        <v>457.5</v>
      </c>
      <c r="H73" s="30">
        <v>500</v>
      </c>
      <c r="I73" s="32">
        <v>8.5000000000000006E-2</v>
      </c>
      <c r="J73" s="33">
        <v>0.85</v>
      </c>
      <c r="K73" s="31">
        <f t="shared" si="12"/>
        <v>388.875</v>
      </c>
    </row>
    <row r="74" spans="1:11" ht="15.75" x14ac:dyDescent="0.25">
      <c r="A74" s="35">
        <v>69</v>
      </c>
      <c r="B74" s="147" t="s">
        <v>202</v>
      </c>
      <c r="C74" s="25">
        <v>0</v>
      </c>
      <c r="D74" s="25">
        <v>0</v>
      </c>
      <c r="E74" s="36">
        <f>E73</f>
        <v>1.7914338427937986</v>
      </c>
      <c r="F74" s="36">
        <v>2.6389999999999998</v>
      </c>
      <c r="G74" s="31">
        <f t="shared" ref="G74" si="14">H74*(100%-I74)</f>
        <v>457.5</v>
      </c>
      <c r="H74" s="30">
        <v>500</v>
      </c>
      <c r="I74" s="32">
        <v>8.5000000000000006E-2</v>
      </c>
      <c r="J74" s="33">
        <v>0.85</v>
      </c>
      <c r="K74" s="31">
        <f t="shared" ref="K74" si="15">G74*J74</f>
        <v>388.875</v>
      </c>
    </row>
    <row r="75" spans="1:11" ht="15.75" x14ac:dyDescent="0.25">
      <c r="A75" s="35">
        <v>70</v>
      </c>
      <c r="B75" s="59" t="s">
        <v>214</v>
      </c>
      <c r="C75" s="25">
        <v>0</v>
      </c>
      <c r="D75" s="25">
        <v>0</v>
      </c>
      <c r="E75" s="36">
        <f>E74</f>
        <v>1.7914338427937986</v>
      </c>
      <c r="F75" s="36"/>
      <c r="G75" s="31"/>
      <c r="H75" s="30"/>
      <c r="I75" s="32"/>
      <c r="J75" s="33"/>
      <c r="K75" s="31"/>
    </row>
    <row r="76" spans="1:11" ht="15.75" x14ac:dyDescent="0.25">
      <c r="A76" s="35">
        <v>71</v>
      </c>
      <c r="B76" s="25" t="s">
        <v>245</v>
      </c>
      <c r="C76" s="25">
        <v>1320</v>
      </c>
      <c r="D76" s="25">
        <f>C76*0.16%</f>
        <v>2.1120000000000001</v>
      </c>
      <c r="E76" s="36">
        <f>VLOOKUP(B76,'fixed cost'!$B$4:$H$116,7,0)</f>
        <v>1.7669774010626034</v>
      </c>
      <c r="F76" s="36"/>
      <c r="G76" s="31"/>
      <c r="H76" s="30"/>
      <c r="I76" s="32"/>
      <c r="J76" s="33"/>
      <c r="K76" s="31"/>
    </row>
    <row r="77" spans="1:11" ht="15.75" x14ac:dyDescent="0.25">
      <c r="A77" s="35">
        <v>69</v>
      </c>
      <c r="B77" s="147" t="s">
        <v>293</v>
      </c>
      <c r="C77" s="25">
        <v>0</v>
      </c>
      <c r="D77" s="25">
        <v>0</v>
      </c>
      <c r="E77" s="36">
        <f>E76</f>
        <v>1.7669774010626034</v>
      </c>
      <c r="F77" s="36">
        <v>2.6389999999999998</v>
      </c>
      <c r="G77" s="31">
        <f t="shared" ref="G77" si="16">H77*(100%-I77)</f>
        <v>457.5</v>
      </c>
      <c r="H77" s="30">
        <v>500</v>
      </c>
      <c r="I77" s="32">
        <v>8.5000000000000006E-2</v>
      </c>
      <c r="J77" s="33">
        <v>0.85</v>
      </c>
      <c r="K77" s="31">
        <f t="shared" ref="K77" si="17">G77*J77</f>
        <v>388.875</v>
      </c>
    </row>
    <row r="78" spans="1:11" ht="15.75" x14ac:dyDescent="0.25">
      <c r="A78" s="35">
        <v>70</v>
      </c>
      <c r="B78" s="59" t="s">
        <v>288</v>
      </c>
      <c r="C78" s="25">
        <v>0</v>
      </c>
      <c r="D78" s="25">
        <v>0</v>
      </c>
      <c r="E78" s="36">
        <f>E77</f>
        <v>1.7669774010626034</v>
      </c>
      <c r="F78" s="36"/>
      <c r="G78" s="31"/>
      <c r="H78" s="30"/>
      <c r="I78" s="32"/>
      <c r="J78" s="33"/>
      <c r="K78" s="31"/>
    </row>
    <row r="79" spans="1:11" ht="15.75" x14ac:dyDescent="0.25">
      <c r="A79" s="35">
        <v>72</v>
      </c>
      <c r="B79" s="25" t="s">
        <v>15</v>
      </c>
      <c r="C79" s="25">
        <v>1115.9438</v>
      </c>
      <c r="D79" s="25">
        <v>50</v>
      </c>
      <c r="E79" s="36">
        <f>VLOOKUP(B79,'fixed cost'!$B$4:$H$116,7,0)</f>
        <v>0.89460462848106703</v>
      </c>
      <c r="F79" s="36">
        <v>6.2803563169116252</v>
      </c>
      <c r="G79" s="31">
        <f t="shared" si="13"/>
        <v>28.274999999999999</v>
      </c>
      <c r="H79" s="30">
        <v>29</v>
      </c>
      <c r="I79" s="32">
        <v>2.5000000000000001E-2</v>
      </c>
      <c r="J79" s="33">
        <v>0.88</v>
      </c>
      <c r="K79" s="31">
        <f t="shared" si="12"/>
        <v>24.881999999999998</v>
      </c>
    </row>
    <row r="80" spans="1:11" ht="15.75" x14ac:dyDescent="0.25">
      <c r="A80" s="35">
        <v>73</v>
      </c>
      <c r="B80" s="25" t="s">
        <v>31</v>
      </c>
      <c r="C80" s="25">
        <v>1260</v>
      </c>
      <c r="D80">
        <v>417.26</v>
      </c>
      <c r="E80" s="36">
        <f>VLOOKUP(B80,'fixed cost'!$B$4:$H$116,7,0)</f>
        <v>0.91733520477620856</v>
      </c>
      <c r="F80" s="36">
        <v>1.9177650715744115</v>
      </c>
      <c r="G80" s="31">
        <f t="shared" si="13"/>
        <v>403.03899999999999</v>
      </c>
      <c r="H80" s="30">
        <v>442.9</v>
      </c>
      <c r="I80" s="32">
        <v>0.09</v>
      </c>
      <c r="J80" s="33">
        <v>0.83</v>
      </c>
      <c r="K80" s="31">
        <f t="shared" si="12"/>
        <v>334.52236999999997</v>
      </c>
    </row>
    <row r="81" spans="1:11" ht="15.75" x14ac:dyDescent="0.25">
      <c r="A81" s="35">
        <v>74</v>
      </c>
      <c r="B81" s="147" t="s">
        <v>251</v>
      </c>
      <c r="C81" s="25">
        <v>0</v>
      </c>
      <c r="D81" s="25">
        <v>0</v>
      </c>
      <c r="E81" s="36">
        <f>E80</f>
        <v>0.91733520477620856</v>
      </c>
      <c r="F81" s="36">
        <v>1.9177650715744115</v>
      </c>
      <c r="G81" s="31">
        <f t="shared" ref="G81" si="18">H81*(100%-I81)</f>
        <v>403.03899999999999</v>
      </c>
      <c r="H81" s="30">
        <v>442.9</v>
      </c>
      <c r="I81" s="32">
        <v>0.09</v>
      </c>
      <c r="J81" s="33">
        <v>0.83</v>
      </c>
      <c r="K81" s="31">
        <f t="shared" ref="K81" si="19">G81*J81</f>
        <v>334.52236999999997</v>
      </c>
    </row>
    <row r="82" spans="1:11" ht="15.75" x14ac:dyDescent="0.25">
      <c r="A82" s="35">
        <v>75</v>
      </c>
      <c r="B82" s="59" t="s">
        <v>250</v>
      </c>
      <c r="C82" s="25">
        <v>0</v>
      </c>
      <c r="D82" s="25">
        <v>0</v>
      </c>
      <c r="E82" s="36">
        <f>E81</f>
        <v>0.91733520477620856</v>
      </c>
      <c r="F82" s="36"/>
      <c r="G82" s="31"/>
      <c r="H82" s="30"/>
      <c r="I82" s="32"/>
      <c r="J82" s="33"/>
      <c r="K82" s="31"/>
    </row>
    <row r="83" spans="1:11" ht="15.75" x14ac:dyDescent="0.25">
      <c r="A83" s="35">
        <v>76</v>
      </c>
      <c r="B83" s="25" t="s">
        <v>34</v>
      </c>
      <c r="C83" s="25">
        <v>1000</v>
      </c>
      <c r="D83">
        <v>298.47000000000003</v>
      </c>
      <c r="E83" s="36">
        <f>VLOOKUP(B83,'fixed cost'!$B$4:$H$116,7,0)</f>
        <v>0.78386921953636013</v>
      </c>
      <c r="F83" s="36">
        <v>1.8212849356258078</v>
      </c>
      <c r="G83" s="31">
        <f t="shared" si="13"/>
        <v>297.18040000000002</v>
      </c>
      <c r="H83" s="30">
        <v>317.83999999999997</v>
      </c>
      <c r="I83" s="32">
        <v>6.5000000000000002E-2</v>
      </c>
      <c r="J83" s="33">
        <v>0.83</v>
      </c>
      <c r="K83" s="31">
        <f t="shared" si="12"/>
        <v>246.65973199999999</v>
      </c>
    </row>
    <row r="84" spans="1:11" ht="15.75" x14ac:dyDescent="0.25">
      <c r="A84" s="35">
        <v>77</v>
      </c>
      <c r="B84" s="147" t="s">
        <v>203</v>
      </c>
      <c r="C84" s="25">
        <v>0</v>
      </c>
      <c r="D84" s="25">
        <v>0</v>
      </c>
      <c r="E84" s="36">
        <f>E83</f>
        <v>0.78386921953636013</v>
      </c>
      <c r="F84" s="36"/>
      <c r="G84" s="31"/>
      <c r="H84" s="30"/>
      <c r="I84" s="32"/>
      <c r="J84" s="33"/>
      <c r="K84" s="31"/>
    </row>
    <row r="85" spans="1:11" ht="15.75" x14ac:dyDescent="0.25">
      <c r="A85" s="35">
        <v>78</v>
      </c>
      <c r="B85" s="59" t="s">
        <v>215</v>
      </c>
      <c r="C85" s="25">
        <v>0</v>
      </c>
      <c r="D85" s="25">
        <v>0</v>
      </c>
      <c r="E85" s="36">
        <f>E84</f>
        <v>0.78386921953636013</v>
      </c>
      <c r="F85" s="36"/>
      <c r="G85" s="31"/>
      <c r="H85" s="30"/>
      <c r="I85" s="32"/>
      <c r="J85" s="33"/>
      <c r="K85" s="31"/>
    </row>
    <row r="86" spans="1:11" ht="15.75" x14ac:dyDescent="0.25">
      <c r="A86" s="35">
        <v>79</v>
      </c>
      <c r="B86" s="25" t="s">
        <v>30</v>
      </c>
      <c r="C86" s="25">
        <v>1000</v>
      </c>
      <c r="D86">
        <v>225.47</v>
      </c>
      <c r="E86" s="36">
        <f>VLOOKUP(B86,'fixed cost'!$B$4:$H$116,7,0)</f>
        <v>0.91111985072361856</v>
      </c>
      <c r="F86" s="36">
        <v>1.818172673175853</v>
      </c>
      <c r="G86" s="31">
        <f t="shared" si="13"/>
        <v>228.88800000000003</v>
      </c>
      <c r="H86" s="30">
        <v>244.8</v>
      </c>
      <c r="I86" s="32">
        <v>6.5000000000000002E-2</v>
      </c>
      <c r="J86" s="33">
        <v>0.83</v>
      </c>
      <c r="K86" s="31">
        <f t="shared" si="12"/>
        <v>189.97704000000002</v>
      </c>
    </row>
    <row r="87" spans="1:11" ht="15.75" x14ac:dyDescent="0.25">
      <c r="A87" s="35">
        <v>80</v>
      </c>
      <c r="B87" s="147" t="s">
        <v>204</v>
      </c>
      <c r="C87" s="25">
        <v>0</v>
      </c>
      <c r="D87" s="25">
        <v>0</v>
      </c>
      <c r="E87" s="36">
        <f>E86</f>
        <v>0.91111985072361856</v>
      </c>
      <c r="F87" s="36"/>
      <c r="G87" s="31"/>
      <c r="H87" s="30"/>
      <c r="I87" s="32"/>
      <c r="J87" s="33"/>
      <c r="K87" s="31"/>
    </row>
    <row r="88" spans="1:11" ht="15.75" x14ac:dyDescent="0.25">
      <c r="A88" s="35">
        <v>81</v>
      </c>
      <c r="B88" s="59" t="s">
        <v>216</v>
      </c>
      <c r="C88" s="25">
        <v>0</v>
      </c>
      <c r="D88" s="25">
        <v>0</v>
      </c>
      <c r="E88" s="36">
        <f>E87</f>
        <v>0.91111985072361856</v>
      </c>
      <c r="F88" s="36"/>
      <c r="G88" s="31"/>
      <c r="H88" s="30"/>
      <c r="I88" s="32"/>
      <c r="J88" s="33"/>
      <c r="K88" s="31"/>
    </row>
    <row r="89" spans="1:11" ht="15.75" x14ac:dyDescent="0.25">
      <c r="A89" s="35">
        <v>82</v>
      </c>
      <c r="B89" s="25" t="s">
        <v>33</v>
      </c>
      <c r="C89" s="25">
        <v>1000</v>
      </c>
      <c r="D89">
        <v>256.41000000000003</v>
      </c>
      <c r="E89" s="36">
        <f>VLOOKUP(B89,'fixed cost'!$B$4:$H$116,7,0)</f>
        <v>1.6494464476681268</v>
      </c>
      <c r="F89" s="36">
        <v>1.8202475148091564</v>
      </c>
      <c r="G89" s="31">
        <f t="shared" si="13"/>
        <v>265.13794999999999</v>
      </c>
      <c r="H89" s="30">
        <v>283.57</v>
      </c>
      <c r="I89" s="32">
        <v>6.5000000000000002E-2</v>
      </c>
      <c r="J89" s="33">
        <v>0.83</v>
      </c>
      <c r="K89" s="31">
        <f t="shared" si="12"/>
        <v>220.06449849999998</v>
      </c>
    </row>
    <row r="90" spans="1:11" ht="15.75" x14ac:dyDescent="0.25">
      <c r="A90" s="35">
        <v>83</v>
      </c>
      <c r="B90" s="147" t="s">
        <v>205</v>
      </c>
      <c r="C90" s="25">
        <v>0</v>
      </c>
      <c r="D90" s="25">
        <v>0</v>
      </c>
      <c r="E90" s="36">
        <f>E89</f>
        <v>1.6494464476681268</v>
      </c>
      <c r="F90" s="36">
        <v>1.8202475148091564</v>
      </c>
      <c r="G90" s="31">
        <f t="shared" ref="G90" si="20">H90*(100%-I90)</f>
        <v>265.13794999999999</v>
      </c>
      <c r="H90" s="30">
        <v>283.57</v>
      </c>
      <c r="I90" s="32">
        <v>6.5000000000000002E-2</v>
      </c>
      <c r="J90" s="33">
        <v>0.83</v>
      </c>
      <c r="K90" s="31">
        <f t="shared" ref="K90" si="21">G90*J90</f>
        <v>220.06449849999998</v>
      </c>
    </row>
    <row r="91" spans="1:11" ht="15.75" x14ac:dyDescent="0.25">
      <c r="A91" s="35">
        <v>84</v>
      </c>
      <c r="B91" s="59" t="s">
        <v>217</v>
      </c>
      <c r="C91" s="25">
        <v>0</v>
      </c>
      <c r="D91" s="25">
        <v>0</v>
      </c>
      <c r="E91" s="36">
        <f>E90</f>
        <v>1.6494464476681268</v>
      </c>
      <c r="F91" s="36"/>
      <c r="G91" s="31"/>
      <c r="H91" s="30"/>
      <c r="I91" s="32"/>
      <c r="J91" s="33"/>
      <c r="K91" s="31"/>
    </row>
    <row r="92" spans="1:11" ht="15.75" x14ac:dyDescent="0.25">
      <c r="A92" s="35">
        <v>85</v>
      </c>
      <c r="B92" s="25" t="s">
        <v>95</v>
      </c>
      <c r="C92" s="25">
        <v>500</v>
      </c>
      <c r="D92">
        <v>127.86</v>
      </c>
      <c r="E92" s="36">
        <f>VLOOKUP(B92,'fixed cost'!$B$4:$H$116,7,0)</f>
        <v>1.7249287472344317</v>
      </c>
      <c r="F92" s="25"/>
      <c r="G92" s="31">
        <f t="shared" si="13"/>
        <v>119.10505999999999</v>
      </c>
      <c r="H92" s="30">
        <v>127.85</v>
      </c>
      <c r="I92" s="32">
        <v>6.8400000000000002E-2</v>
      </c>
      <c r="J92" s="33">
        <v>0.83</v>
      </c>
      <c r="K92" s="31">
        <f t="shared" si="12"/>
        <v>98.857199799999989</v>
      </c>
    </row>
    <row r="93" spans="1:11" ht="15.75" x14ac:dyDescent="0.25">
      <c r="A93" s="35">
        <v>86</v>
      </c>
      <c r="B93" s="147" t="s">
        <v>206</v>
      </c>
      <c r="C93" s="25">
        <v>0</v>
      </c>
      <c r="D93" s="25">
        <v>0</v>
      </c>
      <c r="E93" s="36">
        <f>E92</f>
        <v>1.7249287472344317</v>
      </c>
      <c r="F93" s="25">
        <f t="shared" ref="F93:K93" si="22">F89</f>
        <v>1.8202475148091564</v>
      </c>
      <c r="G93" s="31">
        <f t="shared" si="22"/>
        <v>265.13794999999999</v>
      </c>
      <c r="H93" s="30">
        <f t="shared" si="22"/>
        <v>283.57</v>
      </c>
      <c r="I93" s="32">
        <f t="shared" si="22"/>
        <v>6.5000000000000002E-2</v>
      </c>
      <c r="J93" s="33">
        <f t="shared" si="22"/>
        <v>0.83</v>
      </c>
      <c r="K93" s="31">
        <f t="shared" si="22"/>
        <v>220.06449849999998</v>
      </c>
    </row>
    <row r="94" spans="1:11" ht="15.75" x14ac:dyDescent="0.25">
      <c r="A94" s="35">
        <v>87</v>
      </c>
      <c r="B94" s="59" t="s">
        <v>218</v>
      </c>
      <c r="C94" s="25">
        <v>0</v>
      </c>
      <c r="D94" s="25">
        <v>0</v>
      </c>
      <c r="E94" s="36">
        <f>E93</f>
        <v>1.7249287472344317</v>
      </c>
      <c r="F94" s="25"/>
      <c r="G94" s="31"/>
      <c r="H94" s="30"/>
      <c r="I94" s="32"/>
      <c r="J94" s="33"/>
      <c r="K94" s="31"/>
    </row>
    <row r="95" spans="1:11" ht="15.75" x14ac:dyDescent="0.25">
      <c r="A95" s="35">
        <v>88</v>
      </c>
      <c r="B95" s="25" t="s">
        <v>117</v>
      </c>
      <c r="C95" s="25">
        <f>660*2</f>
        <v>1320</v>
      </c>
      <c r="D95">
        <v>295.88</v>
      </c>
      <c r="E95" s="36">
        <f>VLOOKUP(B95,'fixed cost'!$B$4:$H$116,7,0)</f>
        <v>1.9962858589939085</v>
      </c>
      <c r="F95" s="25"/>
      <c r="G95" s="31"/>
      <c r="H95" s="30"/>
      <c r="I95" s="32"/>
      <c r="J95" s="33"/>
      <c r="K95" s="31"/>
    </row>
    <row r="96" spans="1:11" ht="15.75" x14ac:dyDescent="0.25">
      <c r="A96" s="35">
        <v>89</v>
      </c>
      <c r="B96" s="25" t="s">
        <v>172</v>
      </c>
      <c r="C96" s="25">
        <v>1600</v>
      </c>
      <c r="D96">
        <v>147.41999999999999</v>
      </c>
      <c r="E96" s="36">
        <f>VLOOKUP(B96,'fixed cost'!$B$4:$H$116,7,0)</f>
        <v>2.2835364224538699</v>
      </c>
      <c r="F96" s="25"/>
      <c r="G96" s="31"/>
      <c r="H96" s="30"/>
      <c r="I96" s="32"/>
      <c r="J96" s="33"/>
      <c r="K96" s="31"/>
    </row>
    <row r="97" spans="1:11" ht="15.75" x14ac:dyDescent="0.25">
      <c r="A97" s="35"/>
      <c r="B97" s="147" t="s">
        <v>291</v>
      </c>
      <c r="C97" s="25">
        <v>0</v>
      </c>
      <c r="D97">
        <v>0</v>
      </c>
      <c r="E97" s="36">
        <f>E96</f>
        <v>2.2835364224538699</v>
      </c>
      <c r="F97" s="25"/>
      <c r="G97" s="31"/>
      <c r="H97" s="30"/>
      <c r="I97" s="32"/>
      <c r="J97" s="33"/>
      <c r="K97" s="31"/>
    </row>
    <row r="98" spans="1:11" ht="15.75" x14ac:dyDescent="0.25">
      <c r="A98" s="35"/>
      <c r="B98" s="59" t="s">
        <v>286</v>
      </c>
      <c r="C98" s="25">
        <v>0</v>
      </c>
      <c r="D98">
        <v>0</v>
      </c>
      <c r="E98" s="36">
        <f>E97</f>
        <v>2.2835364224538699</v>
      </c>
      <c r="F98" s="25"/>
      <c r="G98" s="31"/>
      <c r="H98" s="30"/>
      <c r="I98" s="32"/>
      <c r="J98" s="33"/>
      <c r="K98" s="31"/>
    </row>
    <row r="99" spans="1:11" ht="15.75" x14ac:dyDescent="0.25">
      <c r="A99" s="35">
        <v>90</v>
      </c>
      <c r="B99" s="4" t="s">
        <v>107</v>
      </c>
      <c r="C99" s="25">
        <v>600</v>
      </c>
      <c r="D99" s="25">
        <f>C99*5%</f>
        <v>30</v>
      </c>
      <c r="E99" s="36">
        <v>0</v>
      </c>
      <c r="F99" s="25"/>
      <c r="G99" s="31"/>
      <c r="H99" s="30"/>
      <c r="I99" s="32"/>
      <c r="J99" s="33"/>
      <c r="K99" s="31"/>
    </row>
    <row r="100" spans="1:11" ht="15.75" x14ac:dyDescent="0.25">
      <c r="A100" s="35">
        <v>91</v>
      </c>
      <c r="B100" s="120" t="s">
        <v>129</v>
      </c>
      <c r="C100" s="25">
        <v>1000</v>
      </c>
      <c r="D100" s="25">
        <f>C100*0.2%</f>
        <v>2</v>
      </c>
      <c r="E100" s="36">
        <f>VLOOKUP(B100,'fixed cost'!$B$4:$H$116,7,0)</f>
        <v>0.83038164640483936</v>
      </c>
      <c r="F100" s="25"/>
      <c r="G100" s="31"/>
      <c r="H100" s="30"/>
      <c r="I100" s="32"/>
      <c r="J100" s="33"/>
      <c r="K100" s="31"/>
    </row>
    <row r="101" spans="1:11" ht="15.75" x14ac:dyDescent="0.25">
      <c r="A101" s="35">
        <v>92</v>
      </c>
      <c r="B101" s="147" t="s">
        <v>252</v>
      </c>
      <c r="C101" s="25">
        <v>0</v>
      </c>
      <c r="D101" s="25">
        <v>0</v>
      </c>
      <c r="E101" s="36">
        <f>E100</f>
        <v>0.83038164640483936</v>
      </c>
      <c r="F101" s="25"/>
      <c r="G101" s="31"/>
      <c r="H101" s="30"/>
      <c r="I101" s="32"/>
      <c r="J101" s="33"/>
      <c r="K101" s="31"/>
    </row>
    <row r="102" spans="1:11" ht="15.75" x14ac:dyDescent="0.25">
      <c r="A102" s="35">
        <v>93</v>
      </c>
      <c r="B102" s="59" t="s">
        <v>249</v>
      </c>
      <c r="C102" s="25">
        <v>0</v>
      </c>
      <c r="D102" s="25">
        <v>0</v>
      </c>
      <c r="E102" s="36">
        <f>E101</f>
        <v>0.83038164640483936</v>
      </c>
      <c r="F102" s="25"/>
      <c r="G102" s="31"/>
      <c r="H102" s="30"/>
      <c r="I102" s="32"/>
      <c r="J102" s="33"/>
      <c r="K102" s="31"/>
    </row>
    <row r="103" spans="1:11" ht="15.75" x14ac:dyDescent="0.25">
      <c r="A103" s="35">
        <v>94</v>
      </c>
      <c r="B103" s="120" t="s">
        <v>130</v>
      </c>
      <c r="C103" s="25">
        <v>1000</v>
      </c>
      <c r="D103" s="25">
        <f>C103*0.21%</f>
        <v>2.1</v>
      </c>
      <c r="E103" s="36">
        <f>VLOOKUP(B103,'fixed cost'!$B$4:$H$116,7,0)</f>
        <v>0.77934853313441221</v>
      </c>
      <c r="F103" s="25"/>
      <c r="G103" s="31"/>
      <c r="H103" s="30"/>
      <c r="I103" s="32"/>
      <c r="J103" s="33"/>
      <c r="K103" s="31"/>
    </row>
    <row r="104" spans="1:11" ht="15.75" x14ac:dyDescent="0.25">
      <c r="A104" s="35">
        <v>95</v>
      </c>
      <c r="B104" s="147" t="s">
        <v>207</v>
      </c>
      <c r="C104" s="25">
        <v>0</v>
      </c>
      <c r="D104" s="25">
        <v>0</v>
      </c>
      <c r="E104" s="36">
        <f>E103</f>
        <v>0.77934853313441221</v>
      </c>
      <c r="F104" s="25"/>
      <c r="G104" s="31"/>
      <c r="H104" s="30"/>
      <c r="I104" s="32"/>
      <c r="J104" s="33"/>
      <c r="K104" s="31"/>
    </row>
    <row r="105" spans="1:11" ht="15.75" x14ac:dyDescent="0.25">
      <c r="A105" s="35">
        <v>96</v>
      </c>
      <c r="B105" s="59" t="s">
        <v>219</v>
      </c>
      <c r="C105" s="25">
        <v>0</v>
      </c>
      <c r="D105" s="25">
        <v>0</v>
      </c>
      <c r="E105" s="36">
        <f>E104</f>
        <v>0.77934853313441221</v>
      </c>
      <c r="F105" s="25"/>
      <c r="G105" s="31"/>
      <c r="H105" s="30"/>
      <c r="I105" s="32"/>
      <c r="J105" s="33"/>
      <c r="K105" s="31"/>
    </row>
    <row r="106" spans="1:11" ht="15.75" x14ac:dyDescent="0.25">
      <c r="A106" s="35">
        <v>97</v>
      </c>
      <c r="B106" s="120" t="s">
        <v>131</v>
      </c>
      <c r="C106" s="25">
        <v>1000</v>
      </c>
      <c r="D106" s="25">
        <f>C106*0.24%</f>
        <v>2.4</v>
      </c>
      <c r="E106" s="36">
        <f>VLOOKUP(B106,'fixed cost'!$B$4:$H$116,7,0)</f>
        <v>1.4694115224666227</v>
      </c>
      <c r="F106" s="25"/>
      <c r="G106" s="31"/>
      <c r="H106" s="30"/>
      <c r="I106" s="32"/>
      <c r="J106" s="33"/>
      <c r="K106" s="31"/>
    </row>
    <row r="107" spans="1:11" ht="15.75" x14ac:dyDescent="0.25">
      <c r="A107" s="35">
        <v>98</v>
      </c>
      <c r="B107" s="147" t="s">
        <v>208</v>
      </c>
      <c r="C107" s="25">
        <v>0</v>
      </c>
      <c r="D107" s="25">
        <v>0</v>
      </c>
      <c r="E107" s="36">
        <f>E106</f>
        <v>1.4694115224666227</v>
      </c>
      <c r="F107" s="25"/>
      <c r="G107" s="31"/>
      <c r="H107" s="30"/>
      <c r="I107" s="32"/>
      <c r="J107" s="33"/>
      <c r="K107" s="31"/>
    </row>
    <row r="108" spans="1:11" ht="15.75" x14ac:dyDescent="0.25">
      <c r="A108" s="35">
        <v>99</v>
      </c>
      <c r="B108" s="59" t="s">
        <v>220</v>
      </c>
      <c r="C108" s="25">
        <v>0</v>
      </c>
      <c r="D108" s="25">
        <v>0</v>
      </c>
      <c r="E108" s="36">
        <f>E107</f>
        <v>1.4694115224666227</v>
      </c>
      <c r="F108" s="25"/>
      <c r="G108" s="31"/>
      <c r="H108" s="30"/>
      <c r="I108" s="32"/>
      <c r="J108" s="33"/>
      <c r="K108" s="31"/>
    </row>
    <row r="109" spans="1:11" ht="15.75" x14ac:dyDescent="0.25">
      <c r="A109" s="35">
        <v>100</v>
      </c>
      <c r="B109" s="120" t="s">
        <v>132</v>
      </c>
      <c r="C109" s="25">
        <v>2000</v>
      </c>
      <c r="D109" s="25">
        <f>C109*0.19%</f>
        <v>3.8</v>
      </c>
      <c r="E109" s="36">
        <f>VLOOKUP(B109,'fixed cost'!$B$4:$H$116,7,0)</f>
        <v>0.76384627104384095</v>
      </c>
      <c r="F109" s="25"/>
      <c r="G109" s="31"/>
      <c r="H109" s="30"/>
      <c r="I109" s="32"/>
      <c r="J109" s="33"/>
      <c r="K109" s="31"/>
    </row>
    <row r="110" spans="1:11" ht="15.75" x14ac:dyDescent="0.25">
      <c r="A110" s="35">
        <v>98</v>
      </c>
      <c r="B110" s="147" t="s">
        <v>292</v>
      </c>
      <c r="C110" s="25">
        <v>0</v>
      </c>
      <c r="D110" s="25">
        <v>0</v>
      </c>
      <c r="E110" s="36">
        <f>E109</f>
        <v>0.76384627104384095</v>
      </c>
      <c r="F110" s="25"/>
      <c r="G110" s="31"/>
      <c r="H110" s="30"/>
      <c r="I110" s="32"/>
      <c r="J110" s="33"/>
      <c r="K110" s="31"/>
    </row>
    <row r="111" spans="1:11" ht="15.75" x14ac:dyDescent="0.25">
      <c r="A111" s="35">
        <v>99</v>
      </c>
      <c r="B111" s="59" t="s">
        <v>287</v>
      </c>
      <c r="C111" s="25">
        <v>0</v>
      </c>
      <c r="D111" s="25">
        <v>0</v>
      </c>
      <c r="E111" s="36">
        <f>E110</f>
        <v>0.76384627104384095</v>
      </c>
      <c r="F111" s="25"/>
      <c r="G111" s="31"/>
      <c r="H111" s="30"/>
      <c r="I111" s="32"/>
      <c r="J111" s="33"/>
      <c r="K111" s="31"/>
    </row>
    <row r="112" spans="1:11" ht="15.75" x14ac:dyDescent="0.25">
      <c r="A112" s="35">
        <v>101</v>
      </c>
      <c r="B112" s="120" t="s">
        <v>133</v>
      </c>
      <c r="C112" s="25">
        <v>210</v>
      </c>
      <c r="D112" s="25">
        <f>C112*0.23%</f>
        <v>0.48299999999999998</v>
      </c>
      <c r="E112" s="36">
        <f>VLOOKUP(B112,'fixed cost'!$B$4:$H$116,7,0)</f>
        <v>1.2090519383025429</v>
      </c>
      <c r="F112" s="25"/>
      <c r="G112" s="31"/>
      <c r="H112" s="30"/>
      <c r="I112" s="32"/>
      <c r="J112" s="33"/>
      <c r="K112" s="31"/>
    </row>
    <row r="113" spans="1:11" ht="15.75" x14ac:dyDescent="0.25">
      <c r="A113" s="35">
        <v>102</v>
      </c>
      <c r="B113" s="120" t="s">
        <v>134</v>
      </c>
      <c r="C113" s="25">
        <v>420</v>
      </c>
      <c r="D113" s="25">
        <f>C113*0.08%</f>
        <v>0.33600000000000002</v>
      </c>
      <c r="E113" s="36">
        <f>VLOOKUP(B113,'fixed cost'!$B$4:$H$116,7,0)</f>
        <v>1.0459097583536401</v>
      </c>
      <c r="F113" s="25"/>
      <c r="G113" s="31"/>
      <c r="H113" s="30"/>
      <c r="I113" s="32"/>
      <c r="J113" s="33"/>
      <c r="K113" s="31"/>
    </row>
    <row r="114" spans="1:11" ht="15.75" x14ac:dyDescent="0.25">
      <c r="A114" s="35"/>
      <c r="B114" s="147" t="s">
        <v>303</v>
      </c>
      <c r="C114" s="25">
        <v>0</v>
      </c>
      <c r="D114" s="25">
        <v>0</v>
      </c>
      <c r="E114" s="36">
        <f>E113</f>
        <v>1.0459097583536401</v>
      </c>
      <c r="F114" s="25"/>
      <c r="G114" s="31"/>
      <c r="H114" s="30"/>
      <c r="I114" s="32"/>
      <c r="J114" s="33"/>
      <c r="K114" s="31"/>
    </row>
    <row r="115" spans="1:11" ht="15.75" x14ac:dyDescent="0.25">
      <c r="A115" s="35"/>
      <c r="B115" s="59" t="s">
        <v>302</v>
      </c>
      <c r="C115" s="25">
        <v>0</v>
      </c>
      <c r="D115" s="25">
        <v>0</v>
      </c>
      <c r="E115" s="36">
        <f>E114</f>
        <v>1.0459097583536401</v>
      </c>
      <c r="F115" s="25"/>
      <c r="G115" s="31"/>
      <c r="H115" s="30"/>
      <c r="I115" s="32"/>
      <c r="J115" s="33"/>
      <c r="K115" s="31"/>
    </row>
    <row r="116" spans="1:11" ht="15.75" x14ac:dyDescent="0.25">
      <c r="A116" s="35">
        <v>103</v>
      </c>
      <c r="B116" s="120" t="s">
        <v>135</v>
      </c>
      <c r="C116" s="25">
        <v>420</v>
      </c>
      <c r="D116" s="25">
        <f>C116*0.24%</f>
        <v>1.008</v>
      </c>
      <c r="E116" s="36">
        <f>VLOOKUP(B116,'fixed cost'!$B$4:$H$116,7,0)</f>
        <v>1.1206832154238848</v>
      </c>
      <c r="F116" s="25"/>
      <c r="G116" s="31"/>
      <c r="H116" s="30"/>
      <c r="I116" s="32"/>
      <c r="J116" s="33"/>
      <c r="K116" s="31"/>
    </row>
    <row r="117" spans="1:11" ht="15.75" x14ac:dyDescent="0.25">
      <c r="A117" s="35">
        <v>104</v>
      </c>
      <c r="B117" s="120" t="s">
        <v>157</v>
      </c>
      <c r="C117" s="25">
        <v>830</v>
      </c>
      <c r="D117" s="25">
        <f>C117*0.24%</f>
        <v>1.9919999999999998</v>
      </c>
      <c r="E117" s="36">
        <f>VLOOKUP(B117,'fixed cost'!$B$4:$H$116,7,0)</f>
        <v>0.52960707387180206</v>
      </c>
      <c r="F117" s="25"/>
      <c r="G117" s="31"/>
      <c r="H117" s="30"/>
      <c r="I117" s="32"/>
      <c r="J117" s="33"/>
      <c r="K117" s="31"/>
    </row>
    <row r="118" spans="1:11" ht="15.75" x14ac:dyDescent="0.25">
      <c r="A118" s="35">
        <v>105</v>
      </c>
      <c r="B118" s="120" t="s">
        <v>158</v>
      </c>
      <c r="C118" s="25">
        <v>0</v>
      </c>
      <c r="D118" s="25">
        <v>0</v>
      </c>
      <c r="E118" s="36">
        <f>VLOOKUP(B118,'fixed cost'!$B$4:$H$116,7,0)</f>
        <v>0.52960707387180206</v>
      </c>
      <c r="F118" s="25"/>
      <c r="G118" s="31"/>
      <c r="H118" s="30"/>
      <c r="I118" s="32"/>
      <c r="J118" s="33"/>
      <c r="K118" s="31"/>
    </row>
    <row r="119" spans="1:11" ht="15.75" x14ac:dyDescent="0.25">
      <c r="A119" s="35">
        <v>106</v>
      </c>
      <c r="B119" s="120" t="s">
        <v>159</v>
      </c>
      <c r="C119" s="25">
        <v>0</v>
      </c>
      <c r="D119" s="25">
        <v>0</v>
      </c>
      <c r="E119" s="36">
        <f>VLOOKUP(B119,'fixed cost'!$B$4:$H$116,7,0)</f>
        <v>0.52960707387180206</v>
      </c>
      <c r="F119" s="25"/>
      <c r="G119" s="31"/>
      <c r="H119" s="30"/>
      <c r="I119" s="32"/>
      <c r="J119" s="33"/>
      <c r="K119" s="31"/>
    </row>
    <row r="120" spans="1:11" ht="15.75" x14ac:dyDescent="0.25">
      <c r="A120" s="35">
        <v>107</v>
      </c>
      <c r="B120" s="4" t="s">
        <v>177</v>
      </c>
      <c r="C120" s="25">
        <v>0</v>
      </c>
      <c r="D120" s="25">
        <v>0</v>
      </c>
      <c r="E120" s="36">
        <f>VLOOKUP(B120,'fixed cost'!$B$4:$H$116,7,0)</f>
        <v>0.52960707387180206</v>
      </c>
      <c r="F120" s="25"/>
      <c r="G120" s="31"/>
      <c r="H120" s="30"/>
      <c r="I120" s="32"/>
      <c r="J120" s="33"/>
      <c r="K120" s="31"/>
    </row>
    <row r="121" spans="1:11" ht="15.75" x14ac:dyDescent="0.25">
      <c r="A121" s="35">
        <v>108</v>
      </c>
      <c r="B121" s="120" t="s">
        <v>160</v>
      </c>
      <c r="C121" s="25">
        <v>419</v>
      </c>
      <c r="D121" s="25">
        <f>C121*0.24%</f>
        <v>1.0055999999999998</v>
      </c>
      <c r="E121" s="36">
        <f>VLOOKUP(B121,'fixed cost'!$B$4:$H$116,7,0)</f>
        <v>0.70899999999999996</v>
      </c>
      <c r="F121" s="25"/>
      <c r="G121" s="31"/>
      <c r="H121" s="30"/>
      <c r="I121" s="32"/>
      <c r="J121" s="33"/>
      <c r="K121" s="31"/>
    </row>
    <row r="122" spans="1:11" ht="15.75" x14ac:dyDescent="0.25">
      <c r="A122" s="35">
        <v>109</v>
      </c>
      <c r="B122" s="120" t="s">
        <v>242</v>
      </c>
      <c r="C122" s="25">
        <v>0</v>
      </c>
      <c r="D122" s="25">
        <v>0</v>
      </c>
      <c r="E122" s="36">
        <f>VLOOKUP(B122,'fixed cost'!$B$4:$H$116,7,0)</f>
        <v>0.70899999999999996</v>
      </c>
      <c r="F122" s="25"/>
      <c r="G122" s="31"/>
      <c r="H122" s="30"/>
      <c r="I122" s="32"/>
      <c r="J122" s="33"/>
      <c r="K122" s="31"/>
    </row>
    <row r="123" spans="1:11" ht="15.75" x14ac:dyDescent="0.25">
      <c r="A123" s="35">
        <v>110</v>
      </c>
      <c r="B123" s="120" t="s">
        <v>161</v>
      </c>
      <c r="C123" s="25">
        <v>0</v>
      </c>
      <c r="D123" s="25">
        <v>0</v>
      </c>
      <c r="E123" s="36">
        <f>VLOOKUP(B123,'fixed cost'!$B$4:$H$116,7,0)</f>
        <v>0.70899999999999996</v>
      </c>
      <c r="F123" s="25"/>
      <c r="G123" s="31"/>
      <c r="H123" s="30"/>
      <c r="I123" s="32"/>
      <c r="J123" s="33"/>
      <c r="K123" s="31"/>
    </row>
    <row r="124" spans="1:11" ht="15.75" x14ac:dyDescent="0.25">
      <c r="A124" s="35">
        <v>111</v>
      </c>
      <c r="B124" s="120" t="s">
        <v>162</v>
      </c>
      <c r="C124" s="25">
        <v>0</v>
      </c>
      <c r="D124" s="25">
        <v>0</v>
      </c>
      <c r="E124" s="36">
        <f>VLOOKUP(B124,'fixed cost'!$B$4:$H$116,7,0)</f>
        <v>0.70899999999999996</v>
      </c>
      <c r="F124" s="25"/>
      <c r="G124" s="31"/>
      <c r="H124" s="30"/>
      <c r="I124" s="32"/>
      <c r="J124" s="33"/>
      <c r="K124" s="31"/>
    </row>
    <row r="125" spans="1:11" ht="15.75" x14ac:dyDescent="0.25">
      <c r="A125" s="35">
        <v>112</v>
      </c>
      <c r="B125" s="120" t="s">
        <v>154</v>
      </c>
      <c r="C125" s="25">
        <v>663</v>
      </c>
      <c r="D125" s="25">
        <f>C125*0.23%</f>
        <v>1.5248999999999999</v>
      </c>
      <c r="E125" s="36">
        <f>VLOOKUP(B125,'fixed cost'!$B$4:$H$116,7,0)</f>
        <v>0.63500000000000001</v>
      </c>
      <c r="F125" s="25"/>
      <c r="G125" s="31"/>
      <c r="H125" s="30"/>
      <c r="I125" s="32"/>
      <c r="J125" s="33"/>
      <c r="K125" s="31"/>
    </row>
    <row r="126" spans="1:11" ht="15.75" x14ac:dyDescent="0.25">
      <c r="A126" s="35">
        <v>113</v>
      </c>
      <c r="B126" s="120" t="s">
        <v>155</v>
      </c>
      <c r="C126" s="25">
        <v>0</v>
      </c>
      <c r="D126" s="25">
        <v>0</v>
      </c>
      <c r="E126" s="36">
        <f>VLOOKUP(B126,'fixed cost'!$B$4:$H$116,7,0)</f>
        <v>0.63500000000000001</v>
      </c>
      <c r="F126" s="25"/>
      <c r="G126" s="31"/>
      <c r="H126" s="30"/>
      <c r="I126" s="32"/>
      <c r="J126" s="33"/>
      <c r="K126" s="31"/>
    </row>
    <row r="127" spans="1:11" ht="15.75" x14ac:dyDescent="0.25">
      <c r="A127" s="35">
        <v>114</v>
      </c>
      <c r="B127" s="120" t="s">
        <v>156</v>
      </c>
      <c r="C127" s="25">
        <v>0</v>
      </c>
      <c r="D127" s="25">
        <v>0</v>
      </c>
      <c r="E127" s="36">
        <f>VLOOKUP(B127,'fixed cost'!$B$4:$H$116,7,0)</f>
        <v>0.63500000000000001</v>
      </c>
      <c r="F127" s="25"/>
      <c r="G127" s="31"/>
      <c r="H127" s="30"/>
      <c r="I127" s="32"/>
      <c r="J127" s="33"/>
      <c r="K127" s="31"/>
    </row>
    <row r="128" spans="1:11" ht="15.75" x14ac:dyDescent="0.25">
      <c r="A128" s="35">
        <v>115</v>
      </c>
      <c r="B128" s="120" t="s">
        <v>178</v>
      </c>
      <c r="C128" s="25">
        <v>0</v>
      </c>
      <c r="D128" s="25">
        <v>0</v>
      </c>
      <c r="E128" s="36">
        <f>VLOOKUP(B128,'fixed cost'!$B$4:$H$116,7,0)</f>
        <v>0.63500000000000001</v>
      </c>
      <c r="F128" s="25"/>
      <c r="G128" s="31"/>
      <c r="H128" s="30"/>
      <c r="I128" s="32"/>
      <c r="J128" s="33"/>
      <c r="K128" s="31"/>
    </row>
    <row r="129" spans="1:11" ht="15.75" x14ac:dyDescent="0.25">
      <c r="A129" s="35">
        <v>116</v>
      </c>
      <c r="B129" s="120" t="s">
        <v>136</v>
      </c>
      <c r="C129" s="25">
        <v>440</v>
      </c>
      <c r="D129" s="25">
        <v>1.1439999999999999</v>
      </c>
      <c r="E129" s="36">
        <f>VLOOKUP(B129,'fixed cost'!$B$4:$H$116,7,0)</f>
        <v>0</v>
      </c>
      <c r="F129" s="25"/>
      <c r="G129" s="31"/>
      <c r="H129" s="30"/>
      <c r="I129" s="32"/>
      <c r="J129" s="33"/>
      <c r="K129" s="31"/>
    </row>
    <row r="130" spans="1:11" ht="15.75" x14ac:dyDescent="0.25">
      <c r="A130" s="35">
        <v>117</v>
      </c>
      <c r="B130" s="120" t="s">
        <v>137</v>
      </c>
      <c r="C130" s="25">
        <v>412.02</v>
      </c>
      <c r="D130" s="25">
        <v>0.65923200000000004</v>
      </c>
      <c r="E130" s="36">
        <f>VLOOKUP(B130,'fixed cost'!$B$4:$H$116,7,0)</f>
        <v>2.081</v>
      </c>
      <c r="F130" s="25"/>
      <c r="G130" s="31"/>
      <c r="H130" s="30"/>
      <c r="I130" s="32"/>
      <c r="J130" s="33"/>
      <c r="K130" s="31"/>
    </row>
    <row r="131" spans="1:11" ht="15.75" x14ac:dyDescent="0.25">
      <c r="A131" s="35">
        <v>118</v>
      </c>
      <c r="B131" s="120" t="s">
        <v>138</v>
      </c>
      <c r="C131" s="25">
        <v>1500</v>
      </c>
      <c r="D131" s="25">
        <f>C131*0.16%</f>
        <v>2.4</v>
      </c>
      <c r="E131" s="36">
        <f>VLOOKUP(B131,'fixed cost'!$B$4:$H$116,7,0)</f>
        <v>1.2030000000000001</v>
      </c>
      <c r="F131" s="25"/>
      <c r="G131" s="31"/>
      <c r="H131" s="30"/>
      <c r="I131" s="32"/>
      <c r="J131" s="33"/>
      <c r="K131" s="31"/>
    </row>
    <row r="132" spans="1:11" ht="15.75" x14ac:dyDescent="0.25">
      <c r="A132" s="35">
        <v>119</v>
      </c>
      <c r="B132" s="120" t="s">
        <v>139</v>
      </c>
      <c r="C132" s="25">
        <v>1000</v>
      </c>
      <c r="D132" s="25">
        <f>C132*0.16%</f>
        <v>1.6</v>
      </c>
      <c r="E132" s="36">
        <f>VLOOKUP(B132,'fixed cost'!$B$4:$H$116,7,0)</f>
        <v>2.1150000000000002</v>
      </c>
      <c r="F132" s="25"/>
      <c r="G132" s="31"/>
      <c r="H132" s="30"/>
      <c r="I132" s="32"/>
      <c r="J132" s="33"/>
      <c r="K132" s="31"/>
    </row>
    <row r="133" spans="1:11" ht="15.75" x14ac:dyDescent="0.25">
      <c r="A133" s="35">
        <v>120</v>
      </c>
      <c r="B133" s="120" t="s">
        <v>140</v>
      </c>
      <c r="C133" s="25">
        <v>390</v>
      </c>
      <c r="D133" s="25">
        <f>C133*0.24%</f>
        <v>0.93599999999999994</v>
      </c>
      <c r="E133" s="36">
        <f>VLOOKUP(B133,'fixed cost'!$B$4:$H$116,7,0)</f>
        <v>2.3279999999999998</v>
      </c>
      <c r="F133" s="25"/>
      <c r="G133" s="31"/>
      <c r="H133" s="30"/>
      <c r="I133" s="32"/>
      <c r="J133" s="33"/>
      <c r="K133" s="31"/>
    </row>
    <row r="134" spans="1:11" ht="15.75" x14ac:dyDescent="0.25">
      <c r="A134" s="35">
        <v>121</v>
      </c>
      <c r="B134" s="120" t="s">
        <v>141</v>
      </c>
      <c r="C134" s="25">
        <v>520</v>
      </c>
      <c r="D134" s="25">
        <f>C134*0.24%</f>
        <v>1.248</v>
      </c>
      <c r="E134" s="36">
        <f>VLOOKUP(B134,'fixed cost'!$B$4:$H$116,7,0)</f>
        <v>1.5389999999999999</v>
      </c>
      <c r="F134" s="25"/>
      <c r="G134" s="31"/>
      <c r="H134" s="30"/>
      <c r="I134" s="32"/>
      <c r="J134" s="33"/>
      <c r="K134" s="31"/>
    </row>
    <row r="135" spans="1:11" ht="15.75" x14ac:dyDescent="0.25">
      <c r="A135" s="35">
        <v>122</v>
      </c>
      <c r="B135" s="120" t="s">
        <v>142</v>
      </c>
      <c r="C135" s="25">
        <v>280</v>
      </c>
      <c r="D135" s="25">
        <f>C135*0.24%</f>
        <v>0.67199999999999993</v>
      </c>
      <c r="E135" s="36">
        <f>VLOOKUP(B135,'fixed cost'!$B$4:$H$116,7,0)</f>
        <v>1.28</v>
      </c>
      <c r="F135" s="25"/>
      <c r="G135" s="31"/>
      <c r="H135" s="30"/>
      <c r="I135" s="32"/>
      <c r="J135" s="33"/>
      <c r="K135" s="31"/>
    </row>
    <row r="136" spans="1:11" ht="15.75" x14ac:dyDescent="0.25">
      <c r="A136" s="35">
        <v>123</v>
      </c>
      <c r="B136" s="120" t="s">
        <v>143</v>
      </c>
      <c r="C136" s="25">
        <v>300</v>
      </c>
      <c r="D136" s="25">
        <f>C136*0.28%</f>
        <v>0.84000000000000008</v>
      </c>
      <c r="E136" s="36">
        <f>VLOOKUP(B136,'fixed cost'!$B$4:$H$116,7,0)</f>
        <v>1.2050000000000001</v>
      </c>
      <c r="F136" s="25"/>
      <c r="G136" s="31"/>
      <c r="H136" s="30"/>
      <c r="I136" s="32"/>
      <c r="J136" s="33"/>
      <c r="K136" s="31"/>
    </row>
    <row r="137" spans="1:11" ht="15.75" x14ac:dyDescent="0.25">
      <c r="A137" s="35">
        <v>124</v>
      </c>
      <c r="B137" s="120" t="s">
        <v>144</v>
      </c>
      <c r="C137" s="25">
        <v>120</v>
      </c>
      <c r="D137" s="25">
        <f>C137*0.24%</f>
        <v>0.28799999999999998</v>
      </c>
      <c r="E137" s="36">
        <f>VLOOKUP(B137,'fixed cost'!$B$4:$H$116,7,0)</f>
        <v>2.206</v>
      </c>
      <c r="F137" s="25"/>
      <c r="G137" s="31"/>
      <c r="H137" s="30"/>
      <c r="I137" s="32"/>
      <c r="J137" s="33"/>
      <c r="K137" s="31"/>
    </row>
    <row r="138" spans="1:11" ht="15.75" x14ac:dyDescent="0.25">
      <c r="A138" s="35">
        <v>125</v>
      </c>
      <c r="B138" s="120" t="s">
        <v>145</v>
      </c>
      <c r="C138" s="25">
        <v>240</v>
      </c>
      <c r="D138" s="25">
        <f>C138*0.24%</f>
        <v>0.57599999999999996</v>
      </c>
      <c r="E138" s="36">
        <f>VLOOKUP(B138,'fixed cost'!$B$4:$H$116,7,0)</f>
        <v>2.2069999999999999</v>
      </c>
      <c r="F138" s="25"/>
      <c r="G138" s="31"/>
      <c r="H138" s="30"/>
      <c r="I138" s="32"/>
      <c r="J138" s="33"/>
      <c r="K138" s="31"/>
    </row>
    <row r="139" spans="1:11" ht="15.75" x14ac:dyDescent="0.25">
      <c r="A139" s="35">
        <v>126</v>
      </c>
      <c r="B139" s="120" t="s">
        <v>146</v>
      </c>
      <c r="C139" s="25">
        <v>1500</v>
      </c>
      <c r="D139" s="25">
        <f>C139*0.12%</f>
        <v>1.7999999999999998</v>
      </c>
      <c r="E139" s="36">
        <f>VLOOKUP(B139,'fixed cost'!$B$4:$H$116,7,0)</f>
        <v>1.56</v>
      </c>
      <c r="F139" s="25"/>
      <c r="G139" s="31"/>
      <c r="H139" s="30"/>
      <c r="I139" s="32"/>
      <c r="J139" s="33"/>
      <c r="K139" s="31"/>
    </row>
    <row r="140" spans="1:11" ht="15.75" x14ac:dyDescent="0.25">
      <c r="A140" s="35">
        <v>127</v>
      </c>
      <c r="B140" s="120" t="s">
        <v>164</v>
      </c>
      <c r="C140" s="25">
        <v>330</v>
      </c>
      <c r="D140" s="25">
        <f>C140*0.23%</f>
        <v>0.75900000000000001</v>
      </c>
      <c r="E140" s="36">
        <f>VLOOKUP(B140,'fixed cost'!$B$4:$H$116,7,0)</f>
        <v>2.3879999999999999</v>
      </c>
      <c r="F140" s="25"/>
      <c r="G140" s="31"/>
      <c r="H140" s="30"/>
      <c r="I140" s="32"/>
      <c r="J140" s="33"/>
      <c r="K140" s="31"/>
    </row>
    <row r="141" spans="1:11" ht="15.75" x14ac:dyDescent="0.25">
      <c r="A141" s="35">
        <v>128</v>
      </c>
      <c r="B141" s="120" t="s">
        <v>147</v>
      </c>
      <c r="C141" s="25">
        <v>400</v>
      </c>
      <c r="D141" s="25">
        <f>C141*0.16%</f>
        <v>0.64</v>
      </c>
      <c r="E141" s="36">
        <f>VLOOKUP(B141,'fixed cost'!$B$4:$H$116,7,0)</f>
        <v>2.746</v>
      </c>
      <c r="F141" s="25"/>
      <c r="G141" s="31"/>
      <c r="H141" s="30"/>
      <c r="I141" s="32"/>
      <c r="J141" s="33"/>
      <c r="K141" s="31"/>
    </row>
    <row r="142" spans="1:11" ht="15.75" x14ac:dyDescent="0.25">
      <c r="A142" s="35">
        <v>129</v>
      </c>
      <c r="B142" s="120" t="s">
        <v>148</v>
      </c>
      <c r="C142" s="25">
        <v>800</v>
      </c>
      <c r="D142" s="25">
        <f>C142*0.1%</f>
        <v>0.8</v>
      </c>
      <c r="E142" s="36">
        <f>VLOOKUP(B142,'fixed cost'!$B$4:$H$116,7,0)</f>
        <v>2.2250000000000001</v>
      </c>
      <c r="F142" s="25"/>
      <c r="G142" s="31"/>
      <c r="H142" s="30"/>
      <c r="I142" s="32"/>
      <c r="J142" s="33"/>
      <c r="K142" s="31"/>
    </row>
    <row r="143" spans="1:11" ht="15.75" x14ac:dyDescent="0.25">
      <c r="A143" s="35">
        <v>130</v>
      </c>
      <c r="B143" s="120" t="s">
        <v>149</v>
      </c>
      <c r="C143" s="25">
        <v>231</v>
      </c>
      <c r="D143" s="25">
        <f>C143*0.24%</f>
        <v>0.5544</v>
      </c>
      <c r="E143" s="36">
        <f>VLOOKUP(B143,'fixed cost'!$B$4:$H$116,7,0)</f>
        <v>1.97</v>
      </c>
      <c r="F143" s="25"/>
      <c r="G143" s="31"/>
      <c r="H143" s="30"/>
      <c r="I143" s="32"/>
      <c r="J143" s="33"/>
      <c r="K143" s="31"/>
    </row>
    <row r="144" spans="1:11" ht="15.75" x14ac:dyDescent="0.25">
      <c r="A144" s="35">
        <v>131</v>
      </c>
      <c r="B144" s="4" t="s">
        <v>150</v>
      </c>
      <c r="C144" s="25">
        <v>980</v>
      </c>
      <c r="D144" s="25">
        <f>C144*0.21%</f>
        <v>2.0579999999999998</v>
      </c>
      <c r="E144" s="36">
        <f>VLOOKUP(B144,'fixed cost'!$B$4:$H$116,7,0)</f>
        <v>0.65153793249911163</v>
      </c>
      <c r="F144" s="25"/>
      <c r="G144" s="31"/>
      <c r="H144" s="30"/>
      <c r="I144" s="32"/>
      <c r="J144" s="33"/>
      <c r="K144" s="31"/>
    </row>
    <row r="145" spans="1:11" ht="15.75" x14ac:dyDescent="0.25">
      <c r="A145" s="35">
        <v>132</v>
      </c>
      <c r="B145" s="120" t="s">
        <v>151</v>
      </c>
      <c r="C145" s="25">
        <v>8</v>
      </c>
      <c r="D145" s="25">
        <f>C145*0.24%</f>
        <v>1.9199999999999998E-2</v>
      </c>
      <c r="E145" s="36">
        <f>VLOOKUP(B145,'fixed cost'!$B$4:$H$116,7,0)</f>
        <v>0</v>
      </c>
      <c r="F145" s="25"/>
      <c r="G145" s="31"/>
      <c r="H145" s="30"/>
      <c r="I145" s="32"/>
      <c r="J145" s="33"/>
      <c r="K145" s="31"/>
    </row>
    <row r="146" spans="1:11" ht="15.75" x14ac:dyDescent="0.25">
      <c r="A146" s="35">
        <v>133</v>
      </c>
      <c r="B146" s="120" t="s">
        <v>152</v>
      </c>
      <c r="C146" s="25">
        <v>440</v>
      </c>
      <c r="D146" s="25">
        <v>1.8919999999999999</v>
      </c>
      <c r="E146" s="36">
        <f>VLOOKUP(B146,'fixed cost'!$B$4:$H$116,7,0)</f>
        <v>0</v>
      </c>
      <c r="F146" s="25"/>
      <c r="G146" s="31"/>
      <c r="H146" s="30"/>
      <c r="I146" s="32"/>
      <c r="J146" s="33"/>
      <c r="K146" s="31"/>
    </row>
    <row r="147" spans="1:11" ht="15.75" x14ac:dyDescent="0.25">
      <c r="A147" s="35">
        <v>134</v>
      </c>
      <c r="B147" s="120" t="s">
        <v>168</v>
      </c>
      <c r="C147" s="25">
        <v>1320</v>
      </c>
      <c r="D147" s="25">
        <f>C147*0.12%</f>
        <v>1.5839999999999999</v>
      </c>
      <c r="E147" s="36">
        <f>VLOOKUP(B147,'fixed cost'!$B$4:$H$116,7,0)</f>
        <v>2.2494752521182821</v>
      </c>
      <c r="F147" s="25"/>
      <c r="G147" s="31"/>
      <c r="H147" s="30"/>
      <c r="I147" s="32"/>
      <c r="J147" s="33"/>
      <c r="K147" s="31"/>
    </row>
    <row r="148" spans="1:11" ht="15.75" x14ac:dyDescent="0.25">
      <c r="A148" s="35">
        <v>135</v>
      </c>
      <c r="B148" s="4" t="s">
        <v>153</v>
      </c>
      <c r="C148" s="25">
        <v>500</v>
      </c>
      <c r="D148" s="25">
        <f>C148*0.24%</f>
        <v>1.2</v>
      </c>
      <c r="E148" s="36">
        <f>VLOOKUP(B148,'fixed cost'!$B$4:$H$116,7,0)</f>
        <v>1.6577600990616079</v>
      </c>
      <c r="F148" s="25"/>
      <c r="G148" s="31"/>
      <c r="H148" s="30"/>
      <c r="I148" s="32"/>
      <c r="J148" s="33"/>
      <c r="K148" s="31"/>
    </row>
    <row r="149" spans="1:11" ht="15.75" x14ac:dyDescent="0.25">
      <c r="A149" s="35">
        <v>98</v>
      </c>
      <c r="B149" s="147" t="s">
        <v>294</v>
      </c>
      <c r="C149" s="25">
        <v>0</v>
      </c>
      <c r="D149" s="25">
        <v>0</v>
      </c>
      <c r="E149" s="36">
        <f>E148</f>
        <v>1.6577600990616079</v>
      </c>
      <c r="F149" s="25"/>
      <c r="G149" s="31"/>
      <c r="H149" s="30"/>
      <c r="I149" s="32"/>
      <c r="J149" s="33"/>
      <c r="K149" s="31"/>
    </row>
    <row r="150" spans="1:11" ht="15.75" x14ac:dyDescent="0.25">
      <c r="A150" s="35">
        <v>99</v>
      </c>
      <c r="B150" s="59" t="s">
        <v>289</v>
      </c>
      <c r="C150" s="25">
        <v>0</v>
      </c>
      <c r="D150" s="25">
        <v>0</v>
      </c>
      <c r="E150" s="36">
        <f>E149</f>
        <v>1.6577600990616079</v>
      </c>
      <c r="F150" s="25"/>
      <c r="G150" s="31"/>
      <c r="H150" s="30"/>
      <c r="I150" s="32"/>
      <c r="J150" s="33"/>
      <c r="K150" s="31"/>
    </row>
    <row r="151" spans="1:11" ht="15.75" x14ac:dyDescent="0.25">
      <c r="A151" s="35"/>
      <c r="B151" s="4" t="s">
        <v>295</v>
      </c>
      <c r="C151" s="25">
        <v>660</v>
      </c>
      <c r="D151" s="25">
        <f>C151*0.161%</f>
        <v>1.0626</v>
      </c>
      <c r="E151" s="36">
        <f>VLOOKUP(B151,'fixed cost'!$B$4:$H$116,7,0)</f>
        <v>3.3963081131187538</v>
      </c>
      <c r="F151" s="25"/>
      <c r="G151" s="31"/>
      <c r="H151" s="30"/>
      <c r="I151" s="32"/>
      <c r="J151" s="33"/>
      <c r="K151" s="31"/>
    </row>
    <row r="152" spans="1:11" ht="15.75" x14ac:dyDescent="0.25">
      <c r="A152" s="35"/>
      <c r="B152" s="13" t="s">
        <v>300</v>
      </c>
      <c r="C152" s="25">
        <f>2*660</f>
        <v>1320</v>
      </c>
      <c r="D152" s="25">
        <f>C152*0.230134%</f>
        <v>3.0377688000000003</v>
      </c>
      <c r="E152" s="36">
        <f>VLOOKUP(B152,'fixed cost'!$B$4:$H$116,7,0)</f>
        <v>1.3848414206162407</v>
      </c>
      <c r="F152" s="25"/>
      <c r="G152" s="31"/>
      <c r="H152" s="30"/>
      <c r="I152" s="32"/>
      <c r="J152" s="33"/>
      <c r="K152" s="31"/>
    </row>
    <row r="153" spans="1:11" ht="15.75" x14ac:dyDescent="0.25">
      <c r="A153" s="35"/>
      <c r="B153" s="4" t="s">
        <v>297</v>
      </c>
      <c r="C153" s="25">
        <f>1440/2</f>
        <v>720</v>
      </c>
      <c r="D153" s="25">
        <v>72.73</v>
      </c>
      <c r="E153" s="36">
        <f>VLOOKUP(B153,'fixed cost'!$B$4:$H$116,7,0)</f>
        <v>2.7149999999999999</v>
      </c>
      <c r="F153" s="25"/>
      <c r="G153" s="31"/>
      <c r="H153" s="30"/>
      <c r="I153" s="32"/>
      <c r="J153" s="33"/>
      <c r="K153" s="31"/>
    </row>
    <row r="154" spans="1:11" ht="15.75" x14ac:dyDescent="0.25">
      <c r="A154" s="35"/>
      <c r="B154" s="4" t="s">
        <v>298</v>
      </c>
      <c r="C154" s="25">
        <f>1440/2</f>
        <v>720</v>
      </c>
      <c r="D154" s="25">
        <v>72.73</v>
      </c>
      <c r="E154" s="36">
        <f>VLOOKUP(B154,'fixed cost'!$B$4:$H$116,7,0)</f>
        <v>2.7610000000000001</v>
      </c>
      <c r="F154" s="25"/>
      <c r="G154" s="31"/>
      <c r="H154" s="30"/>
      <c r="I154" s="32"/>
      <c r="J154" s="33"/>
      <c r="K154" s="31"/>
    </row>
    <row r="155" spans="1:11" ht="15.75" x14ac:dyDescent="0.25">
      <c r="A155" s="35"/>
      <c r="B155" s="4" t="s">
        <v>296</v>
      </c>
      <c r="C155" s="25">
        <f>2*300</f>
        <v>600</v>
      </c>
      <c r="D155" s="25">
        <v>24.24</v>
      </c>
      <c r="E155" s="36">
        <f>VLOOKUP(B155,'fixed cost'!$B$4:$H$116,7,0)</f>
        <v>2.2530000000000001</v>
      </c>
      <c r="F155" s="25"/>
      <c r="G155" s="31"/>
      <c r="H155" s="30"/>
      <c r="I155" s="32"/>
      <c r="J155" s="33"/>
      <c r="K155" s="31"/>
    </row>
    <row r="156" spans="1:11" ht="15.75" x14ac:dyDescent="0.25">
      <c r="A156" s="35"/>
      <c r="B156" s="4" t="s">
        <v>299</v>
      </c>
      <c r="C156" s="25">
        <f>2*600</f>
        <v>1200</v>
      </c>
      <c r="D156" s="25">
        <v>48.48</v>
      </c>
      <c r="E156" s="36">
        <f>VLOOKUP(B156,'fixed cost'!$B$4:$H$116,7,0)</f>
        <v>2.57</v>
      </c>
      <c r="F156" s="25"/>
      <c r="G156" s="31"/>
      <c r="H156" s="30"/>
      <c r="I156" s="32"/>
      <c r="J156" s="33"/>
      <c r="K156" s="31"/>
    </row>
    <row r="157" spans="1:11" ht="15.75" x14ac:dyDescent="0.25">
      <c r="A157" s="35"/>
      <c r="B157" s="13" t="s">
        <v>310</v>
      </c>
      <c r="C157" s="25">
        <v>2400</v>
      </c>
      <c r="D157" s="25">
        <v>72.73</v>
      </c>
      <c r="E157" s="36">
        <f>VLOOKUP(B157,'fixed cost'!$B$4:$H$116,7,0)</f>
        <v>2.6</v>
      </c>
      <c r="F157" s="25"/>
      <c r="G157" s="31"/>
      <c r="H157" s="30"/>
      <c r="I157" s="32"/>
      <c r="J157" s="33"/>
      <c r="K157" s="31"/>
    </row>
    <row r="158" spans="1:11" ht="15.75" x14ac:dyDescent="0.25">
      <c r="A158" s="35"/>
      <c r="B158" s="13" t="s">
        <v>311</v>
      </c>
      <c r="C158" s="25">
        <v>600</v>
      </c>
      <c r="D158" s="25">
        <v>24.24</v>
      </c>
      <c r="E158" s="36">
        <f>VLOOKUP(B158,'fixed cost'!$B$4:$H$116,7,0)</f>
        <v>2.16</v>
      </c>
      <c r="F158" s="25"/>
      <c r="G158" s="31"/>
      <c r="H158" s="30"/>
      <c r="I158" s="32"/>
      <c r="J158" s="33"/>
      <c r="K158" s="31"/>
    </row>
  </sheetData>
  <sortState ref="B3:K57">
    <sortCondition ref="B3:B57"/>
  </sortState>
  <mergeCells count="1">
    <mergeCell ref="A1:K1"/>
  </mergeCells>
  <pageMargins left="0.19685039370078741" right="0.19685039370078741" top="0.35433070866141736" bottom="0.35433070866141736" header="0" footer="0"/>
  <pageSetup paperSize="9" scale="72" orientation="portrait"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T127"/>
  <sheetViews>
    <sheetView workbookViewId="0">
      <pane xSplit="2" ySplit="2" topLeftCell="C84" activePane="bottomRight" state="frozen"/>
      <selection activeCell="S183" sqref="S183"/>
      <selection pane="topRight" activeCell="S183" sqref="S183"/>
      <selection pane="bottomLeft" activeCell="S183" sqref="S183"/>
      <selection pane="bottomRight" activeCell="J88" sqref="J88"/>
    </sheetView>
  </sheetViews>
  <sheetFormatPr defaultColWidth="9.140625" defaultRowHeight="15" x14ac:dyDescent="0.25"/>
  <cols>
    <col min="1" max="1" width="5.85546875" style="16" customWidth="1"/>
    <col min="2" max="2" width="25.140625" style="16" customWidth="1"/>
    <col min="3" max="3" width="11.5703125" style="16" customWidth="1"/>
    <col min="4" max="4" width="11.7109375" style="16" customWidth="1"/>
    <col min="5" max="5" width="12.85546875" style="16" customWidth="1"/>
    <col min="6" max="6" width="10.5703125" style="16" customWidth="1"/>
    <col min="7" max="7" width="14.5703125" style="16" customWidth="1"/>
    <col min="8" max="8" width="11.85546875" style="154" customWidth="1"/>
    <col min="9" max="10" width="9.140625" style="16" customWidth="1"/>
    <col min="11" max="11" width="11" style="16" customWidth="1"/>
    <col min="12" max="12" width="10.28515625" style="16" customWidth="1"/>
    <col min="13" max="15" width="9.140625" style="16" customWidth="1"/>
    <col min="16" max="17" width="12" style="16" customWidth="1"/>
    <col min="18" max="18" width="9.140625" style="16" customWidth="1"/>
    <col min="19" max="16384" width="9.140625" style="16"/>
  </cols>
  <sheetData>
    <row r="2" spans="1:20" ht="96.75" customHeight="1" x14ac:dyDescent="0.25">
      <c r="A2" s="17" t="s">
        <v>71</v>
      </c>
      <c r="B2" s="18" t="s">
        <v>72</v>
      </c>
      <c r="C2" s="18" t="s">
        <v>308</v>
      </c>
      <c r="D2" s="18" t="s">
        <v>73</v>
      </c>
      <c r="E2" s="18" t="s">
        <v>74</v>
      </c>
      <c r="F2" s="18" t="s">
        <v>75</v>
      </c>
      <c r="G2" s="18" t="s">
        <v>76</v>
      </c>
      <c r="H2" s="18" t="s">
        <v>77</v>
      </c>
      <c r="I2" s="19" t="s">
        <v>78</v>
      </c>
      <c r="K2" s="18" t="s">
        <v>222</v>
      </c>
      <c r="L2" s="18" t="s">
        <v>223</v>
      </c>
      <c r="M2" s="18" t="s">
        <v>226</v>
      </c>
      <c r="N2" s="18" t="s">
        <v>224</v>
      </c>
      <c r="O2" s="18" t="s">
        <v>227</v>
      </c>
      <c r="P2" s="18" t="s">
        <v>225</v>
      </c>
      <c r="Q2" s="18" t="s">
        <v>228</v>
      </c>
      <c r="R2" s="18" t="s">
        <v>229</v>
      </c>
      <c r="T2" s="207" t="s">
        <v>283</v>
      </c>
    </row>
    <row r="3" spans="1:20" x14ac:dyDescent="0.25">
      <c r="A3" s="20"/>
      <c r="B3" s="20"/>
      <c r="C3" s="21" t="s">
        <v>79</v>
      </c>
      <c r="D3" s="21" t="s">
        <v>119</v>
      </c>
      <c r="E3" s="21" t="s">
        <v>119</v>
      </c>
      <c r="F3" s="21" t="s">
        <v>80</v>
      </c>
      <c r="G3" s="21" t="s">
        <v>81</v>
      </c>
      <c r="H3" s="21" t="s">
        <v>82</v>
      </c>
      <c r="K3" s="25"/>
      <c r="L3" s="25"/>
      <c r="M3" s="25"/>
      <c r="N3" s="25"/>
      <c r="O3" s="25"/>
      <c r="P3" s="25"/>
      <c r="Q3" s="25"/>
      <c r="R3" s="25" t="s">
        <v>82</v>
      </c>
    </row>
    <row r="4" spans="1:20" x14ac:dyDescent="0.25">
      <c r="A4" s="22">
        <v>1</v>
      </c>
      <c r="B4" s="25" t="s">
        <v>36</v>
      </c>
      <c r="C4" s="196">
        <v>1101.7999</v>
      </c>
      <c r="D4" s="14">
        <v>2100</v>
      </c>
      <c r="E4" s="14">
        <f>D4*0.85</f>
        <v>1785</v>
      </c>
      <c r="F4" s="14">
        <v>6.68</v>
      </c>
      <c r="G4" s="14">
        <f>(E4*(100-F4)%*1000*24*365)/1000000</f>
        <v>14592.07512</v>
      </c>
      <c r="H4" s="23">
        <f>C4*10/G4</f>
        <v>0.7550673162927084</v>
      </c>
      <c r="I4" s="16">
        <v>0.68400000000000005</v>
      </c>
      <c r="J4" s="141">
        <f>H4-I4</f>
        <v>7.1067316292708349E-2</v>
      </c>
      <c r="K4" s="25">
        <f>E4*24*30*1000</f>
        <v>1285200000</v>
      </c>
      <c r="L4" s="25">
        <f>E4*F4%*24*30*1000</f>
        <v>85851360</v>
      </c>
      <c r="M4" s="25">
        <v>0.1</v>
      </c>
      <c r="N4" s="25">
        <f>L4*M4</f>
        <v>8585136</v>
      </c>
      <c r="O4" s="190">
        <v>1.8773</v>
      </c>
      <c r="P4" s="25">
        <f>O4*L4</f>
        <v>161168758.12799999</v>
      </c>
      <c r="Q4" s="25">
        <f>P4+N4</f>
        <v>169753894.12799999</v>
      </c>
      <c r="R4" s="101">
        <f>IFERROR((Q4/K4),0)</f>
        <v>0.13208364</v>
      </c>
      <c r="S4" s="16" t="e">
        <f>VLOOKUP(B4,#REF!,14,FALSE)</f>
        <v>#REF!</v>
      </c>
      <c r="T4" s="16">
        <f>(C4*10^7)/D4</f>
        <v>5246666.1904761903</v>
      </c>
    </row>
    <row r="5" spans="1:20" x14ac:dyDescent="0.25">
      <c r="A5" s="22">
        <v>2</v>
      </c>
      <c r="B5" s="25" t="s">
        <v>37</v>
      </c>
      <c r="C5" s="196">
        <v>395.08150000000001</v>
      </c>
      <c r="D5" s="14">
        <v>500</v>
      </c>
      <c r="E5" s="14">
        <f t="shared" ref="E5:E29" si="0">D5*0.85</f>
        <v>425</v>
      </c>
      <c r="F5" s="14">
        <v>5.75</v>
      </c>
      <c r="G5" s="14">
        <f t="shared" ref="G5:G60" si="1">(E5*(100-F5)%*1000*24*365)/1000000</f>
        <v>3508.9274999999998</v>
      </c>
      <c r="H5" s="23">
        <f t="shared" ref="H5:H62" si="2">C5*10/G5</f>
        <v>1.1259323539742558</v>
      </c>
      <c r="I5" s="16">
        <v>1.3802000000000001</v>
      </c>
      <c r="J5" s="141">
        <f t="shared" ref="J5:J26" si="3">H5-I5</f>
        <v>-0.25426764602574425</v>
      </c>
      <c r="K5" s="25">
        <f t="shared" ref="K5:K70" si="4">E5*24*30*1000</f>
        <v>306000000</v>
      </c>
      <c r="L5" s="25">
        <f t="shared" ref="L5:L26" si="5">E5*F5%*24*30*1000</f>
        <v>17595000</v>
      </c>
      <c r="M5" s="25">
        <v>0.1</v>
      </c>
      <c r="N5" s="25">
        <f t="shared" ref="N5:N30" si="6">L5*M5</f>
        <v>1759500</v>
      </c>
      <c r="O5" s="190">
        <f>O4</f>
        <v>1.8773</v>
      </c>
      <c r="P5" s="25">
        <f t="shared" ref="P5:P26" si="7">O5*L5</f>
        <v>33031093.5</v>
      </c>
      <c r="Q5" s="25">
        <f t="shared" ref="Q5:Q26" si="8">P5+N5</f>
        <v>34790593.5</v>
      </c>
      <c r="R5" s="101">
        <f t="shared" ref="R5:R70" si="9">IFERROR((Q5/K5),0)</f>
        <v>0.11369475</v>
      </c>
      <c r="S5" s="16" t="e">
        <f>VLOOKUP(B5,#REF!,14,FALSE)</f>
        <v>#REF!</v>
      </c>
      <c r="T5" s="16">
        <f t="shared" ref="T5:T68" si="10">(C5*10^7)/D5</f>
        <v>7901630</v>
      </c>
    </row>
    <row r="6" spans="1:20" x14ac:dyDescent="0.25">
      <c r="A6" s="22">
        <v>3</v>
      </c>
      <c r="B6" s="25" t="s">
        <v>31</v>
      </c>
      <c r="C6" s="196">
        <v>783.18259999999998</v>
      </c>
      <c r="D6" s="14">
        <v>1260</v>
      </c>
      <c r="E6" s="14">
        <f t="shared" si="0"/>
        <v>1071</v>
      </c>
      <c r="F6" s="14">
        <v>9</v>
      </c>
      <c r="G6" s="14">
        <f>(E6*(100-F6)%*1000*24*365)/1000000</f>
        <v>8537.5835999999999</v>
      </c>
      <c r="H6" s="23">
        <f>C6*10/G6</f>
        <v>0.91733520477620856</v>
      </c>
      <c r="I6" s="16">
        <v>0.85319999999999996</v>
      </c>
      <c r="J6" s="141">
        <f t="shared" si="3"/>
        <v>6.4135204776208599E-2</v>
      </c>
      <c r="K6" s="25">
        <f t="shared" si="4"/>
        <v>771120000</v>
      </c>
      <c r="L6" s="25">
        <f t="shared" si="5"/>
        <v>69400800</v>
      </c>
      <c r="M6" s="25">
        <v>0.15</v>
      </c>
      <c r="N6" s="25">
        <f t="shared" si="6"/>
        <v>10410120</v>
      </c>
      <c r="O6" s="190">
        <v>0.87119999999999997</v>
      </c>
      <c r="P6" s="25">
        <f t="shared" si="7"/>
        <v>60461976.960000001</v>
      </c>
      <c r="Q6" s="25">
        <f t="shared" si="8"/>
        <v>70872096.960000008</v>
      </c>
      <c r="R6" s="101">
        <f t="shared" si="9"/>
        <v>9.1908000000000017E-2</v>
      </c>
      <c r="S6" s="16" t="e">
        <f>VLOOKUP(B6,#REF!,14,FALSE)</f>
        <v>#REF!</v>
      </c>
      <c r="T6" s="16">
        <f t="shared" si="10"/>
        <v>6215734.9206349207</v>
      </c>
    </row>
    <row r="7" spans="1:20" x14ac:dyDescent="0.25">
      <c r="A7" s="22">
        <v>4</v>
      </c>
      <c r="B7" s="25" t="s">
        <v>34</v>
      </c>
      <c r="C7" s="196">
        <v>545.43870000000004</v>
      </c>
      <c r="D7" s="14">
        <v>1000</v>
      </c>
      <c r="E7" s="14">
        <f t="shared" si="0"/>
        <v>850</v>
      </c>
      <c r="F7" s="14">
        <v>6.55</v>
      </c>
      <c r="G7" s="14">
        <f t="shared" si="1"/>
        <v>6958.2870000000003</v>
      </c>
      <c r="H7" s="23">
        <f t="shared" si="2"/>
        <v>0.78386921953636013</v>
      </c>
      <c r="I7" s="16">
        <v>0.6987000000000001</v>
      </c>
      <c r="J7" s="141">
        <f t="shared" si="3"/>
        <v>8.516921953636003E-2</v>
      </c>
      <c r="K7" s="25">
        <f t="shared" si="4"/>
        <v>612000000</v>
      </c>
      <c r="L7" s="25">
        <f t="shared" si="5"/>
        <v>40086000</v>
      </c>
      <c r="M7" s="25">
        <v>0.15</v>
      </c>
      <c r="N7" s="25">
        <f t="shared" si="6"/>
        <v>6012900</v>
      </c>
      <c r="O7" s="190">
        <f>O6</f>
        <v>0.87119999999999997</v>
      </c>
      <c r="P7" s="25">
        <f t="shared" si="7"/>
        <v>34922923.199999996</v>
      </c>
      <c r="Q7" s="25">
        <f t="shared" si="8"/>
        <v>40935823.199999996</v>
      </c>
      <c r="R7" s="101">
        <f t="shared" si="9"/>
        <v>6.6888599999999993E-2</v>
      </c>
      <c r="S7" s="16" t="e">
        <f>VLOOKUP(B7,#REF!,14,FALSE)</f>
        <v>#REF!</v>
      </c>
      <c r="T7" s="16">
        <f t="shared" si="10"/>
        <v>5454387</v>
      </c>
    </row>
    <row r="8" spans="1:20" x14ac:dyDescent="0.25">
      <c r="A8" s="22">
        <v>5</v>
      </c>
      <c r="B8" s="25" t="s">
        <v>30</v>
      </c>
      <c r="C8" s="196">
        <v>639.41070000000002</v>
      </c>
      <c r="D8" s="14">
        <v>1000</v>
      </c>
      <c r="E8" s="14">
        <f t="shared" si="0"/>
        <v>850</v>
      </c>
      <c r="F8" s="14">
        <v>5.75</v>
      </c>
      <c r="G8" s="14">
        <f t="shared" si="1"/>
        <v>7017.8549999999996</v>
      </c>
      <c r="H8" s="23">
        <f t="shared" si="2"/>
        <v>0.91111985072361856</v>
      </c>
      <c r="I8" s="16">
        <v>1.0427</v>
      </c>
      <c r="J8" s="141">
        <f t="shared" si="3"/>
        <v>-0.1315801492763814</v>
      </c>
      <c r="K8" s="25">
        <f t="shared" si="4"/>
        <v>612000000</v>
      </c>
      <c r="L8" s="25">
        <f t="shared" si="5"/>
        <v>35190000</v>
      </c>
      <c r="M8" s="25">
        <v>0.15</v>
      </c>
      <c r="N8" s="25">
        <f t="shared" si="6"/>
        <v>5278500</v>
      </c>
      <c r="O8" s="190">
        <f>O7</f>
        <v>0.87119999999999997</v>
      </c>
      <c r="P8" s="25">
        <f t="shared" si="7"/>
        <v>30657528</v>
      </c>
      <c r="Q8" s="25">
        <f t="shared" si="8"/>
        <v>35936028</v>
      </c>
      <c r="R8" s="101">
        <f t="shared" si="9"/>
        <v>5.8719E-2</v>
      </c>
      <c r="S8" s="16" t="e">
        <f>VLOOKUP(B8,#REF!,14,FALSE)</f>
        <v>#REF!</v>
      </c>
      <c r="T8" s="16">
        <f t="shared" si="10"/>
        <v>6394107</v>
      </c>
    </row>
    <row r="9" spans="1:20" x14ac:dyDescent="0.25">
      <c r="A9" s="22">
        <v>6</v>
      </c>
      <c r="B9" s="25" t="s">
        <v>33</v>
      </c>
      <c r="C9" s="206">
        <v>1157.5576000000001</v>
      </c>
      <c r="D9" s="14">
        <v>1000</v>
      </c>
      <c r="E9" s="14">
        <f t="shared" si="0"/>
        <v>850</v>
      </c>
      <c r="F9" s="14">
        <v>5.75</v>
      </c>
      <c r="G9" s="14">
        <f t="shared" si="1"/>
        <v>7017.8549999999996</v>
      </c>
      <c r="H9" s="23">
        <f t="shared" si="2"/>
        <v>1.6494464476681268</v>
      </c>
      <c r="I9" s="16">
        <v>1.5608000000000002</v>
      </c>
      <c r="J9" s="141">
        <f t="shared" si="3"/>
        <v>8.8646447668126571E-2</v>
      </c>
      <c r="K9" s="25">
        <f t="shared" si="4"/>
        <v>612000000</v>
      </c>
      <c r="L9" s="25">
        <f t="shared" si="5"/>
        <v>35190000</v>
      </c>
      <c r="M9" s="25">
        <v>0.15</v>
      </c>
      <c r="N9" s="25">
        <f t="shared" si="6"/>
        <v>5278500</v>
      </c>
      <c r="O9" s="190">
        <f>O8</f>
        <v>0.87119999999999997</v>
      </c>
      <c r="P9" s="25">
        <f t="shared" si="7"/>
        <v>30657528</v>
      </c>
      <c r="Q9" s="25">
        <f t="shared" si="8"/>
        <v>35936028</v>
      </c>
      <c r="R9" s="101">
        <f t="shared" si="9"/>
        <v>5.8719E-2</v>
      </c>
      <c r="S9" s="16" t="e">
        <f>VLOOKUP(B9,#REF!,14,FALSE)</f>
        <v>#REF!</v>
      </c>
      <c r="T9" s="16">
        <f t="shared" si="10"/>
        <v>11575576</v>
      </c>
    </row>
    <row r="10" spans="1:20" x14ac:dyDescent="0.25">
      <c r="A10" s="22">
        <v>7</v>
      </c>
      <c r="B10" s="25" t="s">
        <v>95</v>
      </c>
      <c r="C10" s="196">
        <v>597.55870000000004</v>
      </c>
      <c r="D10" s="14">
        <v>500</v>
      </c>
      <c r="E10" s="14">
        <f t="shared" si="0"/>
        <v>425</v>
      </c>
      <c r="F10" s="14">
        <v>6.95</v>
      </c>
      <c r="G10" s="14">
        <f t="shared" si="1"/>
        <v>3464.2514999999999</v>
      </c>
      <c r="H10" s="23">
        <f>C10*10/G10</f>
        <v>1.7249287472344317</v>
      </c>
      <c r="I10" s="16">
        <v>1.6671</v>
      </c>
      <c r="J10" s="141">
        <f t="shared" si="3"/>
        <v>5.7828747234431654E-2</v>
      </c>
      <c r="K10" s="25">
        <f t="shared" si="4"/>
        <v>306000000</v>
      </c>
      <c r="L10" s="25">
        <f t="shared" si="5"/>
        <v>21267000.000000004</v>
      </c>
      <c r="M10" s="25">
        <v>0.15</v>
      </c>
      <c r="N10" s="25">
        <f t="shared" si="6"/>
        <v>3190050.0000000005</v>
      </c>
      <c r="O10" s="190">
        <f>O9</f>
        <v>0.87119999999999997</v>
      </c>
      <c r="P10" s="25">
        <f t="shared" si="7"/>
        <v>18527810.400000002</v>
      </c>
      <c r="Q10" s="25">
        <f t="shared" si="8"/>
        <v>21717860.400000002</v>
      </c>
      <c r="R10" s="101">
        <f t="shared" si="9"/>
        <v>7.0973400000000006E-2</v>
      </c>
      <c r="S10" s="16" t="e">
        <f>VLOOKUP(B10,#REF!,14,FALSE)</f>
        <v>#REF!</v>
      </c>
      <c r="T10" s="16">
        <f t="shared" si="10"/>
        <v>11951174</v>
      </c>
    </row>
    <row r="11" spans="1:20" x14ac:dyDescent="0.25">
      <c r="A11" s="22">
        <v>8</v>
      </c>
      <c r="B11" s="25" t="s">
        <v>18</v>
      </c>
      <c r="C11" s="196">
        <v>1188.2331999999999</v>
      </c>
      <c r="D11" s="14">
        <v>1000</v>
      </c>
      <c r="E11" s="14">
        <f t="shared" si="0"/>
        <v>850</v>
      </c>
      <c r="F11" s="14">
        <v>5.75</v>
      </c>
      <c r="G11" s="14">
        <f t="shared" si="1"/>
        <v>7017.8549999999996</v>
      </c>
      <c r="H11" s="23">
        <f t="shared" si="2"/>
        <v>1.6931572396408874</v>
      </c>
      <c r="I11" s="16">
        <v>1.8729</v>
      </c>
      <c r="J11" s="141">
        <f t="shared" si="3"/>
        <v>-0.17974276035911263</v>
      </c>
      <c r="K11" s="25">
        <f t="shared" si="4"/>
        <v>612000000</v>
      </c>
      <c r="L11" s="25">
        <f t="shared" si="5"/>
        <v>35190000</v>
      </c>
      <c r="M11" s="25"/>
      <c r="N11" s="25">
        <f t="shared" si="6"/>
        <v>0</v>
      </c>
      <c r="O11" s="25"/>
      <c r="P11" s="25">
        <f t="shared" si="7"/>
        <v>0</v>
      </c>
      <c r="Q11" s="25">
        <f t="shared" si="8"/>
        <v>0</v>
      </c>
      <c r="R11" s="101">
        <f t="shared" si="9"/>
        <v>0</v>
      </c>
      <c r="S11" s="16" t="e">
        <f>VLOOKUP(B11,#REF!,14,FALSE)</f>
        <v>#REF!</v>
      </c>
      <c r="T11" s="16">
        <f t="shared" si="10"/>
        <v>11882331.999999998</v>
      </c>
    </row>
    <row r="12" spans="1:20" x14ac:dyDescent="0.25">
      <c r="A12" s="22">
        <v>9</v>
      </c>
      <c r="B12" s="25" t="s">
        <v>103</v>
      </c>
      <c r="C12" s="196">
        <v>1464.7614000000001</v>
      </c>
      <c r="D12" s="14">
        <f>660*2</f>
        <v>1320</v>
      </c>
      <c r="E12" s="14">
        <f t="shared" si="0"/>
        <v>1122</v>
      </c>
      <c r="F12" s="14">
        <v>5.75</v>
      </c>
      <c r="G12" s="14">
        <f>(E12*(100-F12)%*1000*24*365)/1000000</f>
        <v>9263.5686000000005</v>
      </c>
      <c r="H12" s="23">
        <f>C12*10/G12</f>
        <v>1.5812064046246714</v>
      </c>
      <c r="I12" s="16">
        <v>1.4808000000000001</v>
      </c>
      <c r="J12" s="141">
        <f t="shared" si="3"/>
        <v>0.10040640462467132</v>
      </c>
      <c r="K12" s="25">
        <f t="shared" si="4"/>
        <v>807840000</v>
      </c>
      <c r="L12" s="25">
        <f t="shared" si="5"/>
        <v>46450800</v>
      </c>
      <c r="M12" s="25"/>
      <c r="N12" s="25">
        <f t="shared" si="6"/>
        <v>0</v>
      </c>
      <c r="O12" s="25"/>
      <c r="P12" s="25">
        <f t="shared" si="7"/>
        <v>0</v>
      </c>
      <c r="Q12" s="25">
        <f t="shared" si="8"/>
        <v>0</v>
      </c>
      <c r="R12" s="101">
        <f t="shared" si="9"/>
        <v>0</v>
      </c>
      <c r="S12" s="16" t="e">
        <f>VLOOKUP(B12,#REF!,14,FALSE)</f>
        <v>#REF!</v>
      </c>
      <c r="T12" s="16">
        <f t="shared" si="10"/>
        <v>11096677.272727273</v>
      </c>
    </row>
    <row r="13" spans="1:20" x14ac:dyDescent="0.25">
      <c r="A13" s="22">
        <v>10</v>
      </c>
      <c r="B13" s="25" t="s">
        <v>19</v>
      </c>
      <c r="C13">
        <v>408.1182</v>
      </c>
      <c r="D13" s="14">
        <v>656</v>
      </c>
      <c r="E13" s="14">
        <f t="shared" si="0"/>
        <v>557.6</v>
      </c>
      <c r="F13" s="14">
        <v>2.75</v>
      </c>
      <c r="G13" s="14">
        <f t="shared" si="1"/>
        <v>4750.2501600000005</v>
      </c>
      <c r="H13" s="23">
        <f t="shared" si="2"/>
        <v>0.85915096311475081</v>
      </c>
      <c r="I13" s="16">
        <v>0.83709999999999996</v>
      </c>
      <c r="J13" s="141">
        <f t="shared" si="3"/>
        <v>2.2050963114750854E-2</v>
      </c>
      <c r="K13" s="25">
        <f t="shared" si="4"/>
        <v>401472000.00000006</v>
      </c>
      <c r="L13" s="25">
        <f t="shared" si="5"/>
        <v>11040480.000000002</v>
      </c>
      <c r="M13" s="25"/>
      <c r="N13" s="25">
        <f t="shared" si="6"/>
        <v>0</v>
      </c>
      <c r="O13" s="25"/>
      <c r="P13" s="25">
        <f t="shared" si="7"/>
        <v>0</v>
      </c>
      <c r="Q13" s="25">
        <f t="shared" si="8"/>
        <v>0</v>
      </c>
      <c r="R13" s="101">
        <f t="shared" si="9"/>
        <v>0</v>
      </c>
      <c r="S13" s="16" t="e">
        <f>VLOOKUP(B13,#REF!,14,FALSE)</f>
        <v>#REF!</v>
      </c>
      <c r="T13" s="16">
        <f t="shared" si="10"/>
        <v>6221314.0243902439</v>
      </c>
    </row>
    <row r="14" spans="1:20" x14ac:dyDescent="0.25">
      <c r="A14" s="22">
        <v>11</v>
      </c>
      <c r="B14" s="25" t="s">
        <v>16</v>
      </c>
      <c r="C14" s="196">
        <f>C13</f>
        <v>408.1182</v>
      </c>
      <c r="D14" s="14">
        <v>656</v>
      </c>
      <c r="E14" s="14">
        <f t="shared" si="0"/>
        <v>557.6</v>
      </c>
      <c r="F14" s="14">
        <v>2.75</v>
      </c>
      <c r="G14" s="14">
        <f t="shared" si="1"/>
        <v>4750.2501600000005</v>
      </c>
      <c r="H14" s="23">
        <f>C14*10/G14</f>
        <v>0.85915096311475081</v>
      </c>
      <c r="I14" s="16">
        <v>0.83709999999999996</v>
      </c>
      <c r="J14" s="141">
        <f t="shared" si="3"/>
        <v>2.2050963114750854E-2</v>
      </c>
      <c r="K14" s="25">
        <f t="shared" si="4"/>
        <v>401472000.00000006</v>
      </c>
      <c r="L14" s="25">
        <f t="shared" si="5"/>
        <v>11040480.000000002</v>
      </c>
      <c r="M14" s="25"/>
      <c r="N14" s="25">
        <f t="shared" si="6"/>
        <v>0</v>
      </c>
      <c r="O14" s="25"/>
      <c r="P14" s="25">
        <f t="shared" si="7"/>
        <v>0</v>
      </c>
      <c r="Q14" s="25">
        <f t="shared" si="8"/>
        <v>0</v>
      </c>
      <c r="R14" s="101">
        <f t="shared" si="9"/>
        <v>0</v>
      </c>
      <c r="S14" s="16" t="e">
        <f>VLOOKUP(B14,#REF!,14,FALSE)</f>
        <v>#REF!</v>
      </c>
      <c r="T14" s="16">
        <f t="shared" si="10"/>
        <v>6221314.0243902439</v>
      </c>
    </row>
    <row r="15" spans="1:20" x14ac:dyDescent="0.25">
      <c r="A15" s="22">
        <v>12</v>
      </c>
      <c r="B15" s="25" t="s">
        <v>105</v>
      </c>
      <c r="C15" s="196">
        <f>C14</f>
        <v>408.1182</v>
      </c>
      <c r="D15" s="14">
        <v>656</v>
      </c>
      <c r="E15" s="14">
        <f t="shared" si="0"/>
        <v>557.6</v>
      </c>
      <c r="F15" s="14">
        <v>2.75</v>
      </c>
      <c r="G15" s="14">
        <f>(E15*(100-F15)%*1000*24*365)/1000000</f>
        <v>4750.2501600000005</v>
      </c>
      <c r="H15" s="23">
        <f>C15*10/G15</f>
        <v>0.85915096311475081</v>
      </c>
      <c r="I15" s="16">
        <v>0.83709999999999996</v>
      </c>
      <c r="J15" s="141">
        <f t="shared" si="3"/>
        <v>2.2050963114750854E-2</v>
      </c>
      <c r="K15" s="25">
        <f t="shared" si="4"/>
        <v>401472000.00000006</v>
      </c>
      <c r="L15" s="25">
        <f t="shared" si="5"/>
        <v>11040480.000000002</v>
      </c>
      <c r="M15" s="25"/>
      <c r="N15" s="25">
        <f t="shared" si="6"/>
        <v>0</v>
      </c>
      <c r="O15" s="25"/>
      <c r="P15" s="25">
        <f t="shared" si="7"/>
        <v>0</v>
      </c>
      <c r="Q15" s="25">
        <f t="shared" si="8"/>
        <v>0</v>
      </c>
      <c r="R15" s="101">
        <f t="shared" si="9"/>
        <v>0</v>
      </c>
      <c r="S15" s="16" t="e">
        <f>VLOOKUP(B15,#REF!,14,FALSE)</f>
        <v>#REF!</v>
      </c>
      <c r="T15" s="16">
        <f t="shared" si="10"/>
        <v>6221314.0243902439</v>
      </c>
    </row>
    <row r="16" spans="1:20" x14ac:dyDescent="0.25">
      <c r="A16" s="22">
        <v>13</v>
      </c>
      <c r="B16" s="25" t="s">
        <v>182</v>
      </c>
      <c r="C16" s="196">
        <f>C15</f>
        <v>408.1182</v>
      </c>
      <c r="D16" s="14">
        <v>656</v>
      </c>
      <c r="E16" s="14">
        <f t="shared" ref="E16" si="11">D16*0.85</f>
        <v>557.6</v>
      </c>
      <c r="F16" s="14">
        <v>2.75</v>
      </c>
      <c r="G16" s="14">
        <f>(E16*(100-F16)%*1000*24*365)/1000000</f>
        <v>4750.2501600000005</v>
      </c>
      <c r="H16" s="23">
        <f>C16*10/G16</f>
        <v>0.85915096311475081</v>
      </c>
      <c r="I16" s="16">
        <v>0.83709999999999996</v>
      </c>
      <c r="J16" s="141">
        <f t="shared" ref="J16" si="12">H16-I16</f>
        <v>2.2050963114750854E-2</v>
      </c>
      <c r="K16" s="25">
        <f t="shared" si="4"/>
        <v>401472000.00000006</v>
      </c>
      <c r="L16" s="25">
        <f t="shared" si="5"/>
        <v>11040480.000000002</v>
      </c>
      <c r="M16" s="25"/>
      <c r="N16" s="25">
        <f t="shared" si="6"/>
        <v>0</v>
      </c>
      <c r="O16" s="25"/>
      <c r="P16" s="25">
        <f t="shared" si="7"/>
        <v>0</v>
      </c>
      <c r="Q16" s="25">
        <f t="shared" si="8"/>
        <v>0</v>
      </c>
      <c r="R16" s="101">
        <f t="shared" si="9"/>
        <v>0</v>
      </c>
      <c r="S16" s="16" t="e">
        <f>VLOOKUP(B16,#REF!,14,FALSE)</f>
        <v>#REF!</v>
      </c>
      <c r="T16" s="16">
        <f t="shared" si="10"/>
        <v>6221314.0243902439</v>
      </c>
    </row>
    <row r="17" spans="1:20" x14ac:dyDescent="0.25">
      <c r="A17" s="22">
        <v>14</v>
      </c>
      <c r="B17" s="93" t="s">
        <v>128</v>
      </c>
      <c r="C17" s="196">
        <f>C16</f>
        <v>408.1182</v>
      </c>
      <c r="D17" s="14">
        <v>656</v>
      </c>
      <c r="E17" s="14">
        <f t="shared" ref="E17" si="13">D17*0.85</f>
        <v>557.6</v>
      </c>
      <c r="F17" s="14">
        <v>2.75</v>
      </c>
      <c r="G17" s="14">
        <f>(E17*(100-F17)%*1000*24*365)/1000000</f>
        <v>4750.2501600000005</v>
      </c>
      <c r="H17" s="23">
        <f>C17*10/G17</f>
        <v>0.85915096311475081</v>
      </c>
      <c r="I17" s="16">
        <v>0.83709999999999996</v>
      </c>
      <c r="J17" s="141">
        <f t="shared" ref="J17" si="14">H17-I17</f>
        <v>2.2050963114750854E-2</v>
      </c>
      <c r="K17" s="25">
        <f t="shared" ref="K17" si="15">E17*24*30*1000</f>
        <v>401472000.00000006</v>
      </c>
      <c r="L17" s="25">
        <f t="shared" ref="L17" si="16">E17*F17%*24*30*1000</f>
        <v>11040480.000000002</v>
      </c>
      <c r="M17" s="25"/>
      <c r="N17" s="25">
        <f t="shared" ref="N17" si="17">L17*M17</f>
        <v>0</v>
      </c>
      <c r="O17" s="25"/>
      <c r="P17" s="25">
        <f t="shared" ref="P17" si="18">O17*L17</f>
        <v>0</v>
      </c>
      <c r="Q17" s="25">
        <f t="shared" ref="Q17" si="19">P17+N17</f>
        <v>0</v>
      </c>
      <c r="R17" s="101">
        <f t="shared" ref="R17" si="20">IFERROR((Q17/K17),0)</f>
        <v>0</v>
      </c>
      <c r="S17" s="16" t="e">
        <f>VLOOKUP(B17,#REF!,14,FALSE)</f>
        <v>#REF!</v>
      </c>
      <c r="T17" s="16">
        <f t="shared" si="10"/>
        <v>6221314.0243902439</v>
      </c>
    </row>
    <row r="18" spans="1:20" x14ac:dyDescent="0.25">
      <c r="A18" s="22">
        <v>15</v>
      </c>
      <c r="B18" s="25" t="s">
        <v>169</v>
      </c>
      <c r="C18" s="196">
        <v>2313.2491</v>
      </c>
      <c r="D18" s="14">
        <v>1600</v>
      </c>
      <c r="E18" s="14">
        <f t="shared" si="0"/>
        <v>1360</v>
      </c>
      <c r="F18" s="14">
        <v>5.75</v>
      </c>
      <c r="G18" s="14">
        <f>(E18*(100-F18)%*1000*24*365)/1000000</f>
        <v>11228.567999999999</v>
      </c>
      <c r="H18" s="23">
        <f>C18*10/G18</f>
        <v>2.0601461379581085</v>
      </c>
      <c r="I18" s="16">
        <v>1.9811000000000001</v>
      </c>
      <c r="J18" s="141">
        <f t="shared" si="3"/>
        <v>7.9046137958108442E-2</v>
      </c>
      <c r="K18" s="25">
        <f t="shared" si="4"/>
        <v>979200000</v>
      </c>
      <c r="L18" s="25">
        <f t="shared" si="5"/>
        <v>56304000.000000007</v>
      </c>
      <c r="M18" s="25">
        <v>0.15</v>
      </c>
      <c r="N18" s="25">
        <f t="shared" si="6"/>
        <v>8445600</v>
      </c>
      <c r="O18" s="190">
        <v>0.876</v>
      </c>
      <c r="P18" s="25">
        <f t="shared" si="7"/>
        <v>49322304.000000007</v>
      </c>
      <c r="Q18" s="25">
        <f t="shared" si="8"/>
        <v>57767904.000000007</v>
      </c>
      <c r="R18" s="101">
        <f t="shared" si="9"/>
        <v>5.8995000000000006E-2</v>
      </c>
      <c r="S18" s="16" t="e">
        <f>VLOOKUP(B18,#REF!,14,FALSE)</f>
        <v>#REF!</v>
      </c>
      <c r="T18" s="16">
        <f t="shared" si="10"/>
        <v>14457806.875</v>
      </c>
    </row>
    <row r="19" spans="1:20" x14ac:dyDescent="0.25">
      <c r="A19" s="22">
        <v>16</v>
      </c>
      <c r="B19" s="25" t="s">
        <v>23</v>
      </c>
      <c r="C19">
        <v>497.9144</v>
      </c>
      <c r="D19" s="14">
        <v>657</v>
      </c>
      <c r="E19" s="14">
        <f t="shared" si="0"/>
        <v>558.44999999999993</v>
      </c>
      <c r="F19" s="14">
        <v>2.75</v>
      </c>
      <c r="G19" s="14">
        <f t="shared" si="1"/>
        <v>4757.491395</v>
      </c>
      <c r="H19" s="23">
        <f t="shared" si="2"/>
        <v>1.046590227201031</v>
      </c>
      <c r="I19" s="16">
        <v>1.0562</v>
      </c>
      <c r="J19" s="141">
        <f t="shared" si="3"/>
        <v>-9.6097727989690185E-3</v>
      </c>
      <c r="K19" s="25">
        <f t="shared" si="4"/>
        <v>402084000</v>
      </c>
      <c r="L19" s="25">
        <f t="shared" si="5"/>
        <v>11057309.999999998</v>
      </c>
      <c r="M19" s="25"/>
      <c r="N19" s="25">
        <f t="shared" si="6"/>
        <v>0</v>
      </c>
      <c r="O19" s="25"/>
      <c r="P19" s="25">
        <f t="shared" si="7"/>
        <v>0</v>
      </c>
      <c r="Q19" s="25">
        <f t="shared" si="8"/>
        <v>0</v>
      </c>
      <c r="R19" s="101">
        <f t="shared" si="9"/>
        <v>0</v>
      </c>
      <c r="S19" s="16" t="e">
        <f>VLOOKUP(B19,#REF!,14,FALSE)</f>
        <v>#REF!</v>
      </c>
      <c r="T19" s="16">
        <f t="shared" si="10"/>
        <v>7578605.7838660581</v>
      </c>
    </row>
    <row r="20" spans="1:20" x14ac:dyDescent="0.25">
      <c r="A20" s="22">
        <v>17</v>
      </c>
      <c r="B20" s="25" t="s">
        <v>17</v>
      </c>
      <c r="C20" s="196">
        <f>C19</f>
        <v>497.9144</v>
      </c>
      <c r="D20" s="14">
        <v>657</v>
      </c>
      <c r="E20" s="14">
        <f t="shared" si="0"/>
        <v>558.44999999999993</v>
      </c>
      <c r="F20" s="14">
        <v>2.75</v>
      </c>
      <c r="G20" s="14">
        <f t="shared" si="1"/>
        <v>4757.491395</v>
      </c>
      <c r="H20" s="23">
        <f>C20*10/G20</f>
        <v>1.046590227201031</v>
      </c>
      <c r="I20" s="16">
        <v>1.0562</v>
      </c>
      <c r="J20" s="141">
        <f t="shared" si="3"/>
        <v>-9.6097727989690185E-3</v>
      </c>
      <c r="K20" s="25">
        <f t="shared" si="4"/>
        <v>402084000</v>
      </c>
      <c r="L20" s="25">
        <f t="shared" si="5"/>
        <v>11057309.999999998</v>
      </c>
      <c r="M20" s="25"/>
      <c r="N20" s="25">
        <f t="shared" si="6"/>
        <v>0</v>
      </c>
      <c r="O20" s="25"/>
      <c r="P20" s="25">
        <f t="shared" si="7"/>
        <v>0</v>
      </c>
      <c r="Q20" s="25">
        <f t="shared" si="8"/>
        <v>0</v>
      </c>
      <c r="R20" s="101">
        <f t="shared" si="9"/>
        <v>0</v>
      </c>
      <c r="S20" s="16" t="e">
        <f>VLOOKUP(B20,#REF!,14,FALSE)</f>
        <v>#REF!</v>
      </c>
      <c r="T20" s="16">
        <f t="shared" si="10"/>
        <v>7578605.7838660581</v>
      </c>
    </row>
    <row r="21" spans="1:20" x14ac:dyDescent="0.25">
      <c r="A21" s="22">
        <v>18</v>
      </c>
      <c r="B21" s="25" t="s">
        <v>104</v>
      </c>
      <c r="C21" s="196">
        <f>C20</f>
        <v>497.9144</v>
      </c>
      <c r="D21" s="14">
        <v>657</v>
      </c>
      <c r="E21" s="14">
        <f t="shared" si="0"/>
        <v>558.44999999999993</v>
      </c>
      <c r="F21" s="14">
        <v>2.75</v>
      </c>
      <c r="G21" s="14">
        <f>(E21*(100-F21)%*1000*24*365)/1000000</f>
        <v>4757.491395</v>
      </c>
      <c r="H21" s="23">
        <f>C21*10/G21</f>
        <v>1.046590227201031</v>
      </c>
      <c r="I21" s="16">
        <v>1.0562</v>
      </c>
      <c r="J21" s="141">
        <f t="shared" si="3"/>
        <v>-9.6097727989690185E-3</v>
      </c>
      <c r="K21" s="25">
        <f t="shared" si="4"/>
        <v>402084000</v>
      </c>
      <c r="L21" s="25">
        <f t="shared" si="5"/>
        <v>11057309.999999998</v>
      </c>
      <c r="M21" s="25"/>
      <c r="N21" s="25">
        <f t="shared" si="6"/>
        <v>0</v>
      </c>
      <c r="O21" s="25"/>
      <c r="P21" s="25">
        <f t="shared" si="7"/>
        <v>0</v>
      </c>
      <c r="Q21" s="25">
        <f t="shared" si="8"/>
        <v>0</v>
      </c>
      <c r="R21" s="101">
        <f t="shared" si="9"/>
        <v>0</v>
      </c>
      <c r="S21" s="16" t="e">
        <f>VLOOKUP(B21,#REF!,14,FALSE)</f>
        <v>#REF!</v>
      </c>
      <c r="T21" s="16">
        <f t="shared" si="10"/>
        <v>7578605.7838660581</v>
      </c>
    </row>
    <row r="22" spans="1:20" x14ac:dyDescent="0.25">
      <c r="A22" s="22">
        <v>19</v>
      </c>
      <c r="B22" s="25" t="s">
        <v>181</v>
      </c>
      <c r="C22" s="196">
        <f>C21</f>
        <v>497.9144</v>
      </c>
      <c r="D22" s="14">
        <v>657</v>
      </c>
      <c r="E22" s="14">
        <f t="shared" ref="E22" si="21">D22*0.85</f>
        <v>558.44999999999993</v>
      </c>
      <c r="F22" s="14">
        <v>2.75</v>
      </c>
      <c r="G22" s="14">
        <f>(E22*(100-F22)%*1000*24*365)/1000000</f>
        <v>4757.491395</v>
      </c>
      <c r="H22" s="23">
        <f>C22*10/G22</f>
        <v>1.046590227201031</v>
      </c>
      <c r="I22" s="16">
        <v>1.0562</v>
      </c>
      <c r="J22" s="141">
        <f t="shared" ref="J22" si="22">H22-I22</f>
        <v>-9.6097727989690185E-3</v>
      </c>
      <c r="K22" s="25">
        <f t="shared" si="4"/>
        <v>402084000</v>
      </c>
      <c r="L22" s="25">
        <f t="shared" si="5"/>
        <v>11057309.999999998</v>
      </c>
      <c r="M22" s="25"/>
      <c r="N22" s="25">
        <f t="shared" si="6"/>
        <v>0</v>
      </c>
      <c r="O22" s="25"/>
      <c r="P22" s="25">
        <f t="shared" si="7"/>
        <v>0</v>
      </c>
      <c r="Q22" s="25">
        <f t="shared" si="8"/>
        <v>0</v>
      </c>
      <c r="R22" s="101">
        <f t="shared" si="9"/>
        <v>0</v>
      </c>
      <c r="S22" s="16" t="e">
        <f>VLOOKUP(B22,#REF!,14,FALSE)</f>
        <v>#REF!</v>
      </c>
      <c r="T22" s="16">
        <f t="shared" si="10"/>
        <v>7578605.7838660581</v>
      </c>
    </row>
    <row r="23" spans="1:20" x14ac:dyDescent="0.25">
      <c r="A23" s="22">
        <v>20</v>
      </c>
      <c r="B23" s="25" t="s">
        <v>29</v>
      </c>
      <c r="C23" s="196">
        <v>1744.8598999999999</v>
      </c>
      <c r="D23" s="14">
        <v>1980</v>
      </c>
      <c r="E23" s="14">
        <f t="shared" si="0"/>
        <v>1683</v>
      </c>
      <c r="F23" s="14">
        <v>5.75</v>
      </c>
      <c r="G23" s="14">
        <f t="shared" si="1"/>
        <v>13895.3529</v>
      </c>
      <c r="H23" s="23">
        <f t="shared" si="2"/>
        <v>1.2557147073249215</v>
      </c>
      <c r="I23" s="16">
        <v>1.3004</v>
      </c>
      <c r="J23" s="141">
        <f t="shared" si="3"/>
        <v>-4.4685292675078481E-2</v>
      </c>
      <c r="K23" s="25">
        <f t="shared" si="4"/>
        <v>1211760000</v>
      </c>
      <c r="L23" s="25">
        <f t="shared" si="5"/>
        <v>69676200</v>
      </c>
      <c r="M23" s="25">
        <v>0.1</v>
      </c>
      <c r="N23" s="25">
        <f t="shared" si="6"/>
        <v>6967620</v>
      </c>
      <c r="O23" s="190">
        <v>1.9562999999999999</v>
      </c>
      <c r="P23" s="25">
        <f t="shared" si="7"/>
        <v>136307550.06</v>
      </c>
      <c r="Q23" s="25">
        <f t="shared" si="8"/>
        <v>143275170.06</v>
      </c>
      <c r="R23" s="101">
        <f t="shared" si="9"/>
        <v>0.11823725</v>
      </c>
      <c r="S23" s="16" t="e">
        <f>VLOOKUP(B23,#REF!,14,FALSE)</f>
        <v>#REF!</v>
      </c>
      <c r="T23" s="16">
        <f t="shared" si="10"/>
        <v>8812423.7373737376</v>
      </c>
    </row>
    <row r="24" spans="1:20" x14ac:dyDescent="0.25">
      <c r="A24" s="22">
        <v>21</v>
      </c>
      <c r="B24" s="25" t="s">
        <v>28</v>
      </c>
      <c r="C24" s="196">
        <v>690.66390000000001</v>
      </c>
      <c r="D24" s="14">
        <v>1000</v>
      </c>
      <c r="E24" s="14">
        <f t="shared" si="0"/>
        <v>850</v>
      </c>
      <c r="F24" s="14">
        <v>5.75</v>
      </c>
      <c r="G24" s="14">
        <f t="shared" si="1"/>
        <v>7017.8549999999996</v>
      </c>
      <c r="H24" s="23">
        <f t="shared" si="2"/>
        <v>0.98415242264196123</v>
      </c>
      <c r="I24" s="16">
        <v>1.2348000000000001</v>
      </c>
      <c r="J24" s="141">
        <f t="shared" si="3"/>
        <v>-0.25064757735803889</v>
      </c>
      <c r="K24" s="25">
        <f t="shared" si="4"/>
        <v>612000000</v>
      </c>
      <c r="L24" s="25">
        <f t="shared" si="5"/>
        <v>35190000</v>
      </c>
      <c r="M24" s="25">
        <v>0.1</v>
      </c>
      <c r="N24" s="25">
        <f t="shared" si="6"/>
        <v>3519000</v>
      </c>
      <c r="O24" s="190">
        <f>O23</f>
        <v>1.9562999999999999</v>
      </c>
      <c r="P24" s="25">
        <f t="shared" si="7"/>
        <v>68842197</v>
      </c>
      <c r="Q24" s="25">
        <f t="shared" si="8"/>
        <v>72361197</v>
      </c>
      <c r="R24" s="101">
        <f t="shared" si="9"/>
        <v>0.11823725</v>
      </c>
      <c r="S24" s="16" t="e">
        <f>VLOOKUP(B24,#REF!,14,FALSE)</f>
        <v>#REF!</v>
      </c>
      <c r="T24" s="16">
        <f t="shared" si="10"/>
        <v>6906639</v>
      </c>
    </row>
    <row r="25" spans="1:20" x14ac:dyDescent="0.25">
      <c r="A25" s="22">
        <v>22</v>
      </c>
      <c r="B25" s="25" t="s">
        <v>27</v>
      </c>
      <c r="C25" s="196">
        <v>968.63890000000004</v>
      </c>
      <c r="D25" s="14">
        <v>1500</v>
      </c>
      <c r="E25" s="14">
        <f t="shared" si="0"/>
        <v>1275</v>
      </c>
      <c r="F25" s="14">
        <v>5.75</v>
      </c>
      <c r="G25" s="14">
        <f t="shared" si="1"/>
        <v>10526.782499999999</v>
      </c>
      <c r="H25" s="23">
        <f t="shared" si="2"/>
        <v>0.92016615713300831</v>
      </c>
      <c r="J25" s="141"/>
      <c r="K25" s="25">
        <f t="shared" si="4"/>
        <v>918000000</v>
      </c>
      <c r="L25" s="25">
        <f t="shared" si="5"/>
        <v>52785000</v>
      </c>
      <c r="M25" s="25"/>
      <c r="N25" s="25">
        <f t="shared" si="6"/>
        <v>0</v>
      </c>
      <c r="O25" s="25"/>
      <c r="P25" s="25">
        <f t="shared" si="7"/>
        <v>0</v>
      </c>
      <c r="Q25" s="25">
        <f t="shared" si="8"/>
        <v>0</v>
      </c>
      <c r="R25" s="101">
        <f t="shared" si="9"/>
        <v>0</v>
      </c>
      <c r="S25" s="16" t="e">
        <f>VLOOKUP(B25,#REF!,14,FALSE)</f>
        <v>#REF!</v>
      </c>
      <c r="T25" s="16">
        <f t="shared" si="10"/>
        <v>6457592.666666667</v>
      </c>
    </row>
    <row r="26" spans="1:20" x14ac:dyDescent="0.25">
      <c r="A26" s="22">
        <v>23</v>
      </c>
      <c r="B26" s="25" t="s">
        <v>117</v>
      </c>
      <c r="C26" s="196">
        <v>1849.2731000000001</v>
      </c>
      <c r="D26" s="14">
        <f>660*2</f>
        <v>1320</v>
      </c>
      <c r="E26" s="14">
        <f t="shared" si="0"/>
        <v>1122</v>
      </c>
      <c r="F26" s="14">
        <v>5.75</v>
      </c>
      <c r="G26" s="14">
        <f t="shared" si="1"/>
        <v>9263.5686000000005</v>
      </c>
      <c r="H26" s="23">
        <f t="shared" si="2"/>
        <v>1.9962858589939085</v>
      </c>
      <c r="I26" s="16">
        <v>1.7158000000000002</v>
      </c>
      <c r="J26" s="141">
        <f t="shared" si="3"/>
        <v>0.28048585899390832</v>
      </c>
      <c r="K26" s="25">
        <f t="shared" si="4"/>
        <v>807840000</v>
      </c>
      <c r="L26" s="25">
        <f t="shared" si="5"/>
        <v>46450800</v>
      </c>
      <c r="M26" s="25"/>
      <c r="N26" s="25">
        <f t="shared" si="6"/>
        <v>0</v>
      </c>
      <c r="O26" s="25"/>
      <c r="P26" s="25">
        <f t="shared" si="7"/>
        <v>0</v>
      </c>
      <c r="Q26" s="25">
        <f t="shared" si="8"/>
        <v>0</v>
      </c>
      <c r="R26" s="101">
        <f t="shared" si="9"/>
        <v>0</v>
      </c>
      <c r="S26" s="16" t="e">
        <f>VLOOKUP(B26,#REF!,14,FALSE)</f>
        <v>#REF!</v>
      </c>
      <c r="T26" s="16">
        <f t="shared" si="10"/>
        <v>14009644.696969697</v>
      </c>
    </row>
    <row r="27" spans="1:20" x14ac:dyDescent="0.25">
      <c r="A27" s="22">
        <v>24</v>
      </c>
      <c r="B27" s="25" t="s">
        <v>175</v>
      </c>
      <c r="C27" s="196">
        <v>1920.4730999999999</v>
      </c>
      <c r="D27" s="14">
        <v>1320</v>
      </c>
      <c r="E27" s="14">
        <f t="shared" ref="E27" si="23">D27*0.85</f>
        <v>1122</v>
      </c>
      <c r="F27" s="14">
        <v>5.75</v>
      </c>
      <c r="G27" s="14">
        <f t="shared" ref="G27" si="24">(E27*(100-F27)%*1000*24*365)/1000000</f>
        <v>9263.5686000000005</v>
      </c>
      <c r="H27" s="23">
        <f t="shared" si="2"/>
        <v>2.0731460875671606</v>
      </c>
      <c r="J27" s="141"/>
      <c r="K27" s="25">
        <f t="shared" si="4"/>
        <v>807840000</v>
      </c>
      <c r="L27" s="25">
        <f t="shared" ref="L27:L86" si="25">E27*F27%*24*30*1000</f>
        <v>46450800</v>
      </c>
      <c r="M27" s="25">
        <v>0.15</v>
      </c>
      <c r="N27" s="25">
        <f t="shared" si="6"/>
        <v>6967620</v>
      </c>
      <c r="O27" s="190">
        <v>0.76800000000000002</v>
      </c>
      <c r="P27" s="25">
        <f t="shared" ref="P27:P28" si="26">O27*L27</f>
        <v>35674214.399999999</v>
      </c>
      <c r="Q27" s="25">
        <f t="shared" ref="Q27:Q28" si="27">P27+N27</f>
        <v>42641834.399999999</v>
      </c>
      <c r="R27" s="101">
        <f t="shared" si="9"/>
        <v>5.2784999999999999E-2</v>
      </c>
      <c r="S27" s="16" t="e">
        <f>VLOOKUP(B27,#REF!,14,FALSE)</f>
        <v>#REF!</v>
      </c>
      <c r="T27" s="16">
        <f t="shared" si="10"/>
        <v>14549038.636363637</v>
      </c>
    </row>
    <row r="28" spans="1:20" x14ac:dyDescent="0.25">
      <c r="A28" s="22">
        <v>25</v>
      </c>
      <c r="B28" s="25" t="s">
        <v>172</v>
      </c>
      <c r="C28" s="196">
        <v>2564.0844000000002</v>
      </c>
      <c r="D28" s="14">
        <v>1600</v>
      </c>
      <c r="E28" s="14">
        <f t="shared" si="0"/>
        <v>1360</v>
      </c>
      <c r="F28" s="14">
        <v>5.75</v>
      </c>
      <c r="G28" s="14">
        <f t="shared" si="1"/>
        <v>11228.567999999999</v>
      </c>
      <c r="H28" s="23">
        <f t="shared" si="2"/>
        <v>2.2835364224538699</v>
      </c>
      <c r="J28" s="141"/>
      <c r="K28" s="25">
        <f t="shared" si="4"/>
        <v>979200000</v>
      </c>
      <c r="L28" s="25">
        <f t="shared" si="25"/>
        <v>56304000.000000007</v>
      </c>
      <c r="M28" s="25">
        <v>0.1</v>
      </c>
      <c r="N28" s="25">
        <f t="shared" si="6"/>
        <v>5630400.0000000009</v>
      </c>
      <c r="O28" s="190">
        <v>1.8773</v>
      </c>
      <c r="P28" s="25">
        <f t="shared" si="26"/>
        <v>105699499.20000002</v>
      </c>
      <c r="Q28" s="25">
        <f t="shared" si="27"/>
        <v>111329899.20000002</v>
      </c>
      <c r="R28" s="101">
        <f t="shared" si="9"/>
        <v>0.11369475000000002</v>
      </c>
      <c r="S28" s="16" t="e">
        <f>VLOOKUP(B28,#REF!,14,FALSE)</f>
        <v>#REF!</v>
      </c>
      <c r="T28" s="16">
        <f t="shared" si="10"/>
        <v>16025527.5</v>
      </c>
    </row>
    <row r="29" spans="1:20" x14ac:dyDescent="0.25">
      <c r="A29" s="22">
        <v>26</v>
      </c>
      <c r="B29" s="25" t="s">
        <v>245</v>
      </c>
      <c r="C29" s="196">
        <v>1645.5352</v>
      </c>
      <c r="D29" s="14">
        <v>1320</v>
      </c>
      <c r="E29" s="14">
        <f t="shared" si="0"/>
        <v>1122</v>
      </c>
      <c r="F29" s="14">
        <v>5.25</v>
      </c>
      <c r="G29" s="14">
        <f t="shared" si="1"/>
        <v>9312.7121999999999</v>
      </c>
      <c r="H29" s="23">
        <f t="shared" si="2"/>
        <v>1.7669774010626034</v>
      </c>
      <c r="J29" s="141"/>
      <c r="K29" s="25">
        <f t="shared" si="4"/>
        <v>807840000</v>
      </c>
      <c r="L29" s="25">
        <f t="shared" si="25"/>
        <v>42411600</v>
      </c>
      <c r="M29" s="25"/>
      <c r="N29" s="25">
        <f t="shared" si="6"/>
        <v>0</v>
      </c>
      <c r="O29" s="25"/>
      <c r="P29" s="25">
        <f t="shared" ref="P29:P30" si="28">O29*L29</f>
        <v>0</v>
      </c>
      <c r="Q29" s="25">
        <f t="shared" ref="Q29:Q30" si="29">P29+N29</f>
        <v>0</v>
      </c>
      <c r="R29" s="101">
        <f t="shared" si="9"/>
        <v>0</v>
      </c>
      <c r="S29" s="16" t="e">
        <f>VLOOKUP(B29,#REF!,14,FALSE)</f>
        <v>#REF!</v>
      </c>
      <c r="T29" s="16">
        <f t="shared" si="10"/>
        <v>12466175.757575758</v>
      </c>
    </row>
    <row r="30" spans="1:20" x14ac:dyDescent="0.25">
      <c r="A30" s="22">
        <v>27</v>
      </c>
      <c r="B30" s="25" t="s">
        <v>57</v>
      </c>
      <c r="C30" s="200">
        <f>650.65</f>
        <v>650.65</v>
      </c>
      <c r="D30" s="14">
        <f>250*2</f>
        <v>500</v>
      </c>
      <c r="E30" s="14">
        <f>D30*0.85</f>
        <v>425</v>
      </c>
      <c r="F30" s="14">
        <v>8.5</v>
      </c>
      <c r="G30" s="14">
        <f>(E30*(100-F30)%*1000*24*365)/1000000</f>
        <v>3406.5450000000001</v>
      </c>
      <c r="H30" s="23">
        <f>C30*10/G30</f>
        <v>1.9099997211250694</v>
      </c>
      <c r="I30" s="16" t="s">
        <v>83</v>
      </c>
      <c r="J30" s="141"/>
      <c r="K30" s="25">
        <f t="shared" si="4"/>
        <v>306000000</v>
      </c>
      <c r="L30" s="25">
        <f t="shared" si="25"/>
        <v>26010000</v>
      </c>
      <c r="M30" s="25">
        <v>0.15</v>
      </c>
      <c r="N30" s="25">
        <f t="shared" si="6"/>
        <v>3901500</v>
      </c>
      <c r="O30" s="25">
        <v>0.61199999999999999</v>
      </c>
      <c r="P30" s="25">
        <f t="shared" si="28"/>
        <v>15918120</v>
      </c>
      <c r="Q30" s="25">
        <f t="shared" si="29"/>
        <v>19819620</v>
      </c>
      <c r="R30" s="101">
        <f t="shared" si="9"/>
        <v>6.4769999999999994E-2</v>
      </c>
      <c r="S30" s="16" t="e">
        <f>VLOOKUP(B30,#REF!,14,FALSE)</f>
        <v>#REF!</v>
      </c>
      <c r="T30" s="16">
        <f t="shared" si="10"/>
        <v>13013000</v>
      </c>
    </row>
    <row r="31" spans="1:20" x14ac:dyDescent="0.25">
      <c r="A31" s="22">
        <v>28</v>
      </c>
      <c r="B31" s="25" t="s">
        <v>56</v>
      </c>
      <c r="C31" s="200">
        <f>1596.71</f>
        <v>1596.71</v>
      </c>
      <c r="D31" s="14">
        <f>660*2</f>
        <v>1320</v>
      </c>
      <c r="E31" s="14">
        <f>D31*0.85</f>
        <v>1122</v>
      </c>
      <c r="F31" s="14">
        <v>5.25</v>
      </c>
      <c r="G31" s="14">
        <f t="shared" si="1"/>
        <v>9312.7121999999999</v>
      </c>
      <c r="H31" s="23">
        <f>C31*10/G31</f>
        <v>1.7145488507633684</v>
      </c>
      <c r="J31" s="141"/>
      <c r="K31" s="25">
        <f t="shared" si="4"/>
        <v>807840000</v>
      </c>
      <c r="L31" s="25">
        <f t="shared" si="25"/>
        <v>42411600</v>
      </c>
      <c r="M31" s="25">
        <v>0.15</v>
      </c>
      <c r="N31" s="25">
        <f t="shared" ref="N31:N95" si="30">L31*M31</f>
        <v>6361740</v>
      </c>
      <c r="O31" s="25">
        <v>0.61199999999999999</v>
      </c>
      <c r="P31" s="25">
        <f t="shared" ref="P31:P95" si="31">O31*L31</f>
        <v>25955899.199999999</v>
      </c>
      <c r="Q31" s="25">
        <f t="shared" ref="Q31:Q95" si="32">P31+N31</f>
        <v>32317639.199999999</v>
      </c>
      <c r="R31" s="101">
        <f t="shared" si="9"/>
        <v>4.0004999999999999E-2</v>
      </c>
      <c r="S31" s="16" t="e">
        <f>VLOOKUP(B31,#REF!,14,FALSE)</f>
        <v>#REF!</v>
      </c>
      <c r="T31" s="16">
        <f t="shared" si="10"/>
        <v>12096287.878787879</v>
      </c>
    </row>
    <row r="32" spans="1:20" x14ac:dyDescent="0.25">
      <c r="A32" s="22">
        <v>29</v>
      </c>
      <c r="B32" s="4" t="s">
        <v>279</v>
      </c>
      <c r="C32" s="196">
        <v>115.02</v>
      </c>
      <c r="D32" s="14">
        <v>90</v>
      </c>
      <c r="E32" s="14">
        <f>D32*0.85</f>
        <v>76.5</v>
      </c>
      <c r="F32" s="14">
        <v>10.5</v>
      </c>
      <c r="G32" s="14">
        <f t="shared" si="1"/>
        <v>599.77530000000002</v>
      </c>
      <c r="H32" s="23">
        <f t="shared" si="2"/>
        <v>1.917718185460455</v>
      </c>
      <c r="I32" s="16" t="s">
        <v>84</v>
      </c>
      <c r="J32" s="141"/>
      <c r="K32" s="25">
        <f t="shared" si="4"/>
        <v>55080000</v>
      </c>
      <c r="L32" s="25">
        <f t="shared" si="25"/>
        <v>5783400</v>
      </c>
      <c r="M32" s="25">
        <v>0.15</v>
      </c>
      <c r="N32" s="25">
        <f t="shared" si="30"/>
        <v>867510</v>
      </c>
      <c r="O32" s="25">
        <v>0.61199999999999999</v>
      </c>
      <c r="P32" s="25">
        <f t="shared" si="31"/>
        <v>3539440.8</v>
      </c>
      <c r="Q32" s="25">
        <f t="shared" si="32"/>
        <v>4406950.8</v>
      </c>
      <c r="R32" s="101">
        <f t="shared" si="9"/>
        <v>8.0009999999999998E-2</v>
      </c>
      <c r="S32" s="16" t="e">
        <f>VLOOKUP(B32,#REF!,14,FALSE)</f>
        <v>#REF!</v>
      </c>
      <c r="T32" s="16">
        <f t="shared" si="10"/>
        <v>12780000</v>
      </c>
    </row>
    <row r="33" spans="1:20" x14ac:dyDescent="0.25">
      <c r="A33" s="22">
        <v>30</v>
      </c>
      <c r="B33" s="4" t="s">
        <v>127</v>
      </c>
      <c r="C33" s="196">
        <v>63.97</v>
      </c>
      <c r="D33" s="14">
        <f>45</f>
        <v>45</v>
      </c>
      <c r="E33" s="14">
        <f>D33*0.85</f>
        <v>38.25</v>
      </c>
      <c r="F33" s="14">
        <v>10.5</v>
      </c>
      <c r="G33" s="14">
        <f t="shared" ref="G33" si="33">(E33*(100-F33)%*1000*24*365)/1000000</f>
        <v>299.88765000000001</v>
      </c>
      <c r="H33" s="23">
        <f t="shared" ref="H33" si="34">C33*10/G33</f>
        <v>2.1331321913389898</v>
      </c>
      <c r="I33" s="16" t="s">
        <v>84</v>
      </c>
      <c r="J33" s="141"/>
      <c r="K33" s="25">
        <f t="shared" si="4"/>
        <v>27540000</v>
      </c>
      <c r="L33" s="25">
        <f t="shared" si="25"/>
        <v>2891700</v>
      </c>
      <c r="M33" s="25">
        <v>0.15</v>
      </c>
      <c r="N33" s="25">
        <f t="shared" si="30"/>
        <v>433755</v>
      </c>
      <c r="O33" s="25">
        <v>0.61199999999999999</v>
      </c>
      <c r="P33" s="25">
        <f t="shared" si="31"/>
        <v>1769720.4</v>
      </c>
      <c r="Q33" s="25">
        <f t="shared" si="32"/>
        <v>2203475.4</v>
      </c>
      <c r="R33" s="101">
        <f t="shared" si="9"/>
        <v>8.0009999999999998E-2</v>
      </c>
      <c r="S33" s="16" t="e">
        <f>VLOOKUP(B33,#REF!,14,FALSE)</f>
        <v>#REF!</v>
      </c>
      <c r="T33" s="16">
        <f t="shared" si="10"/>
        <v>14215555.555555556</v>
      </c>
    </row>
    <row r="34" spans="1:20" x14ac:dyDescent="0.25">
      <c r="A34" s="22">
        <v>31</v>
      </c>
      <c r="B34" s="4" t="s">
        <v>15</v>
      </c>
      <c r="C34" s="156">
        <v>748.42769999999996</v>
      </c>
      <c r="D34" s="14">
        <v>1115.9438</v>
      </c>
      <c r="E34" s="14">
        <f>D34*0.88</f>
        <v>982.03054399999996</v>
      </c>
      <c r="F34" s="14">
        <v>2.75</v>
      </c>
      <c r="G34" s="14">
        <f t="shared" si="1"/>
        <v>8366.0164073903998</v>
      </c>
      <c r="H34" s="23">
        <f t="shared" si="2"/>
        <v>0.89460462848106703</v>
      </c>
      <c r="I34" s="16" t="s">
        <v>85</v>
      </c>
      <c r="J34" s="141"/>
      <c r="K34" s="25">
        <f t="shared" si="4"/>
        <v>707061991.67999995</v>
      </c>
      <c r="L34" s="25">
        <f t="shared" si="25"/>
        <v>19444204.771199998</v>
      </c>
      <c r="M34" s="25"/>
      <c r="N34" s="25">
        <f t="shared" si="30"/>
        <v>0</v>
      </c>
      <c r="O34" s="25"/>
      <c r="P34" s="25">
        <f t="shared" si="31"/>
        <v>0</v>
      </c>
      <c r="Q34" s="25">
        <f t="shared" si="32"/>
        <v>0</v>
      </c>
      <c r="R34" s="101">
        <f t="shared" si="9"/>
        <v>0</v>
      </c>
      <c r="S34" s="16" t="e">
        <f>VLOOKUP(B34,#REF!,14,FALSE)</f>
        <v>#REF!</v>
      </c>
      <c r="T34" s="16">
        <f t="shared" si="10"/>
        <v>6706679.1356338914</v>
      </c>
    </row>
    <row r="35" spans="1:20" x14ac:dyDescent="0.25">
      <c r="A35" s="22">
        <v>32</v>
      </c>
      <c r="B35" s="4" t="s">
        <v>306</v>
      </c>
      <c r="C35" s="200">
        <f>210.04</f>
        <v>210.04</v>
      </c>
      <c r="D35" s="14">
        <v>300</v>
      </c>
      <c r="E35" s="14">
        <f>D35*0.85</f>
        <v>255</v>
      </c>
      <c r="F35" s="14">
        <v>9</v>
      </c>
      <c r="G35" s="14">
        <f t="shared" si="1"/>
        <v>2032.758</v>
      </c>
      <c r="H35" s="23">
        <f t="shared" si="2"/>
        <v>1.0332759728408398</v>
      </c>
      <c r="I35" s="16" t="s">
        <v>86</v>
      </c>
      <c r="J35" s="141"/>
      <c r="K35" s="25">
        <f t="shared" si="4"/>
        <v>183600000</v>
      </c>
      <c r="L35" s="25">
        <f t="shared" si="25"/>
        <v>16524000</v>
      </c>
      <c r="M35" s="25">
        <v>0</v>
      </c>
      <c r="N35" s="25">
        <f t="shared" si="30"/>
        <v>0</v>
      </c>
      <c r="O35" s="25">
        <f>5.93*10%</f>
        <v>0.59299999999999997</v>
      </c>
      <c r="P35" s="25">
        <f t="shared" si="31"/>
        <v>9798732</v>
      </c>
      <c r="Q35" s="25">
        <f t="shared" si="32"/>
        <v>9798732</v>
      </c>
      <c r="R35" s="101">
        <f t="shared" si="9"/>
        <v>5.3370000000000001E-2</v>
      </c>
      <c r="S35" s="16" t="e">
        <f>VLOOKUP(B35,#REF!,14,FALSE)</f>
        <v>#REF!</v>
      </c>
      <c r="T35" s="16">
        <f t="shared" si="10"/>
        <v>7001333.333333333</v>
      </c>
    </row>
    <row r="36" spans="1:20" x14ac:dyDescent="0.25">
      <c r="A36" s="22">
        <v>33</v>
      </c>
      <c r="B36" s="142" t="s">
        <v>304</v>
      </c>
      <c r="C36" s="196">
        <f>C35</f>
        <v>210.04</v>
      </c>
      <c r="D36" s="14">
        <v>300</v>
      </c>
      <c r="E36" s="14">
        <f>D36*0.85</f>
        <v>255</v>
      </c>
      <c r="F36" s="14">
        <v>9</v>
      </c>
      <c r="G36" s="14">
        <f t="shared" ref="G36" si="35">(E36*(100-F36)%*1000*24*365)/1000000</f>
        <v>2032.758</v>
      </c>
      <c r="H36" s="23">
        <f t="shared" ref="H36" si="36">C36*10/G36</f>
        <v>1.0332759728408398</v>
      </c>
      <c r="J36" s="141"/>
      <c r="K36" s="25">
        <f t="shared" si="4"/>
        <v>183600000</v>
      </c>
      <c r="L36" s="25">
        <f t="shared" si="25"/>
        <v>16524000</v>
      </c>
      <c r="M36" s="25">
        <v>0</v>
      </c>
      <c r="N36" s="25">
        <f t="shared" si="30"/>
        <v>0</v>
      </c>
      <c r="O36" s="25">
        <f>5.93*10%</f>
        <v>0.59299999999999997</v>
      </c>
      <c r="P36" s="25">
        <f t="shared" si="31"/>
        <v>9798732</v>
      </c>
      <c r="Q36" s="25">
        <f t="shared" si="32"/>
        <v>9798732</v>
      </c>
      <c r="R36" s="101">
        <f t="shared" si="9"/>
        <v>5.3370000000000001E-2</v>
      </c>
      <c r="S36" s="16" t="e">
        <f>VLOOKUP(B36,#REF!,14,FALSE)</f>
        <v>#REF!</v>
      </c>
      <c r="T36" s="16">
        <f t="shared" si="10"/>
        <v>7001333.333333333</v>
      </c>
    </row>
    <row r="37" spans="1:20" x14ac:dyDescent="0.25">
      <c r="A37" s="22">
        <v>34</v>
      </c>
      <c r="B37" s="4" t="s">
        <v>187</v>
      </c>
      <c r="C37" s="128">
        <v>530.60029999999995</v>
      </c>
      <c r="D37" s="14">
        <v>500</v>
      </c>
      <c r="E37" s="14">
        <f>D37*0.85</f>
        <v>425</v>
      </c>
      <c r="F37" s="14">
        <v>9.8000000000000007</v>
      </c>
      <c r="G37" s="14">
        <f t="shared" si="1"/>
        <v>3358.1460000000002</v>
      </c>
      <c r="H37" s="23">
        <f>C37*10/G37</f>
        <v>1.5800394026942246</v>
      </c>
      <c r="J37" s="141"/>
      <c r="K37" s="25">
        <f t="shared" si="4"/>
        <v>306000000</v>
      </c>
      <c r="L37" s="25">
        <f t="shared" si="25"/>
        <v>29987999.999999996</v>
      </c>
      <c r="M37" s="25"/>
      <c r="N37" s="25">
        <f t="shared" si="30"/>
        <v>0</v>
      </c>
      <c r="O37" s="25"/>
      <c r="P37" s="25">
        <f t="shared" si="31"/>
        <v>0</v>
      </c>
      <c r="Q37" s="25">
        <f t="shared" si="32"/>
        <v>0</v>
      </c>
      <c r="R37" s="101">
        <f t="shared" si="9"/>
        <v>0</v>
      </c>
      <c r="S37" s="16" t="e">
        <f>VLOOKUP(B37,#REF!,14,FALSE)</f>
        <v>#REF!</v>
      </c>
      <c r="T37" s="16">
        <f t="shared" si="10"/>
        <v>10612005.999999998</v>
      </c>
    </row>
    <row r="38" spans="1:20" x14ac:dyDescent="0.25">
      <c r="A38" s="22">
        <v>35</v>
      </c>
      <c r="B38" s="4" t="s">
        <v>188</v>
      </c>
      <c r="C38" s="196">
        <v>1056.9172000000001</v>
      </c>
      <c r="D38" s="14">
        <v>1000</v>
      </c>
      <c r="E38" s="14">
        <f>D38*0.85</f>
        <v>850</v>
      </c>
      <c r="F38" s="14">
        <v>5.75</v>
      </c>
      <c r="G38" s="14">
        <f t="shared" si="1"/>
        <v>7017.8549999999996</v>
      </c>
      <c r="H38" s="23">
        <f>C38*10/G38</f>
        <v>1.5060402359410392</v>
      </c>
      <c r="J38" s="141"/>
      <c r="K38" s="25">
        <f t="shared" si="4"/>
        <v>612000000</v>
      </c>
      <c r="L38" s="25">
        <f t="shared" si="25"/>
        <v>35190000</v>
      </c>
      <c r="M38" s="25"/>
      <c r="N38" s="25">
        <f t="shared" si="30"/>
        <v>0</v>
      </c>
      <c r="O38" s="25"/>
      <c r="P38" s="25">
        <f t="shared" si="31"/>
        <v>0</v>
      </c>
      <c r="Q38" s="25">
        <f t="shared" si="32"/>
        <v>0</v>
      </c>
      <c r="R38" s="101">
        <f t="shared" si="9"/>
        <v>0</v>
      </c>
      <c r="S38" s="16" t="e">
        <f>VLOOKUP(B38,#REF!,14,FALSE)</f>
        <v>#REF!</v>
      </c>
      <c r="T38" s="16">
        <f t="shared" si="10"/>
        <v>10569172</v>
      </c>
    </row>
    <row r="39" spans="1:20" x14ac:dyDescent="0.25">
      <c r="A39" s="22">
        <v>36</v>
      </c>
      <c r="B39" s="4" t="s">
        <v>21</v>
      </c>
      <c r="C39" s="128">
        <v>463.5838</v>
      </c>
      <c r="D39" s="14">
        <v>500</v>
      </c>
      <c r="E39" s="14">
        <f>D39*0.85</f>
        <v>425</v>
      </c>
      <c r="F39" s="14">
        <v>9</v>
      </c>
      <c r="G39" s="14">
        <f t="shared" si="1"/>
        <v>3387.93</v>
      </c>
      <c r="H39" s="23">
        <f>C39*10/G39</f>
        <v>1.3683393694674919</v>
      </c>
      <c r="J39" s="141"/>
      <c r="K39" s="25">
        <f t="shared" si="4"/>
        <v>306000000</v>
      </c>
      <c r="L39" s="25">
        <f t="shared" si="25"/>
        <v>27540000</v>
      </c>
      <c r="M39" s="25"/>
      <c r="N39" s="25">
        <f t="shared" si="30"/>
        <v>0</v>
      </c>
      <c r="O39" s="25"/>
      <c r="P39" s="25">
        <f t="shared" si="31"/>
        <v>0</v>
      </c>
      <c r="Q39" s="25">
        <f t="shared" si="32"/>
        <v>0</v>
      </c>
      <c r="R39" s="101">
        <f t="shared" si="9"/>
        <v>0</v>
      </c>
      <c r="S39" s="16" t="e">
        <f>VLOOKUP(B39,#REF!,14,FALSE)</f>
        <v>#REF!</v>
      </c>
      <c r="T39" s="16">
        <f t="shared" si="10"/>
        <v>9271676</v>
      </c>
    </row>
    <row r="40" spans="1:20" x14ac:dyDescent="0.25">
      <c r="A40" s="22">
        <v>37</v>
      </c>
      <c r="B40" s="4" t="s">
        <v>50</v>
      </c>
      <c r="C40" s="196">
        <v>434.33</v>
      </c>
      <c r="D40" s="14">
        <v>830</v>
      </c>
      <c r="E40" s="14">
        <f>D40*0.75</f>
        <v>622.5</v>
      </c>
      <c r="F40" s="14">
        <v>10</v>
      </c>
      <c r="G40" s="14">
        <f t="shared" si="1"/>
        <v>4907.79</v>
      </c>
      <c r="H40" s="23">
        <f t="shared" si="2"/>
        <v>0.88498081621259272</v>
      </c>
      <c r="J40" s="141"/>
      <c r="K40" s="25">
        <f t="shared" si="4"/>
        <v>448200000</v>
      </c>
      <c r="L40" s="25">
        <f t="shared" si="25"/>
        <v>44820000</v>
      </c>
      <c r="M40" s="25">
        <v>0</v>
      </c>
      <c r="N40" s="25">
        <f t="shared" si="30"/>
        <v>0</v>
      </c>
      <c r="O40" s="25">
        <v>0</v>
      </c>
      <c r="P40" s="25">
        <f t="shared" si="31"/>
        <v>0</v>
      </c>
      <c r="Q40" s="25">
        <f t="shared" si="32"/>
        <v>0</v>
      </c>
      <c r="R40" s="101">
        <f t="shared" si="9"/>
        <v>0</v>
      </c>
      <c r="S40" s="16" t="e">
        <f>VLOOKUP(B40,#REF!,14,FALSE)</f>
        <v>#REF!</v>
      </c>
      <c r="T40" s="16">
        <f t="shared" si="10"/>
        <v>5232891.5662650606</v>
      </c>
    </row>
    <row r="41" spans="1:20" x14ac:dyDescent="0.25">
      <c r="A41" s="22">
        <v>38</v>
      </c>
      <c r="B41" s="4" t="s">
        <v>60</v>
      </c>
      <c r="C41" s="196">
        <v>610.26</v>
      </c>
      <c r="D41" s="14">
        <v>500</v>
      </c>
      <c r="E41" s="14">
        <f>D41*0.85</f>
        <v>425</v>
      </c>
      <c r="F41" s="24">
        <v>8.5</v>
      </c>
      <c r="G41" s="14">
        <f t="shared" si="1"/>
        <v>3406.5450000000001</v>
      </c>
      <c r="H41" s="23">
        <f t="shared" si="2"/>
        <v>1.7914338427937986</v>
      </c>
      <c r="J41" s="141"/>
      <c r="K41" s="25">
        <f t="shared" si="4"/>
        <v>306000000</v>
      </c>
      <c r="L41" s="25">
        <f t="shared" si="25"/>
        <v>26010000</v>
      </c>
      <c r="M41" s="25">
        <v>0</v>
      </c>
      <c r="N41" s="25">
        <f t="shared" si="30"/>
        <v>0</v>
      </c>
      <c r="O41" s="25">
        <v>0</v>
      </c>
      <c r="P41" s="25">
        <f t="shared" si="31"/>
        <v>0</v>
      </c>
      <c r="Q41" s="25">
        <f t="shared" si="32"/>
        <v>0</v>
      </c>
      <c r="R41" s="101">
        <f t="shared" si="9"/>
        <v>0</v>
      </c>
      <c r="S41" s="16" t="e">
        <f>VLOOKUP(B41,#REF!,14,FALSE)</f>
        <v>#REF!</v>
      </c>
      <c r="T41" s="16">
        <f t="shared" si="10"/>
        <v>12205200</v>
      </c>
    </row>
    <row r="42" spans="1:20" x14ac:dyDescent="0.25">
      <c r="A42" s="22">
        <v>39</v>
      </c>
      <c r="B42" s="4" t="s">
        <v>54</v>
      </c>
      <c r="C42" s="196">
        <v>1097.27</v>
      </c>
      <c r="D42" s="14">
        <v>1200</v>
      </c>
      <c r="E42" s="14">
        <f>D42*0.85</f>
        <v>1020</v>
      </c>
      <c r="F42" s="24">
        <v>5.75</v>
      </c>
      <c r="G42" s="14">
        <f t="shared" si="1"/>
        <v>8421.4259999999995</v>
      </c>
      <c r="H42" s="23">
        <f t="shared" si="2"/>
        <v>1.3029503554386159</v>
      </c>
      <c r="J42" s="141"/>
      <c r="K42" s="25">
        <f t="shared" si="4"/>
        <v>734400000</v>
      </c>
      <c r="L42" s="25">
        <f t="shared" si="25"/>
        <v>42228000.000000007</v>
      </c>
      <c r="M42" s="25">
        <v>0</v>
      </c>
      <c r="N42" s="25">
        <f t="shared" si="30"/>
        <v>0</v>
      </c>
      <c r="O42" s="25">
        <v>0</v>
      </c>
      <c r="P42" s="25">
        <f t="shared" si="31"/>
        <v>0</v>
      </c>
      <c r="Q42" s="25">
        <f t="shared" si="32"/>
        <v>0</v>
      </c>
      <c r="R42" s="101">
        <f t="shared" si="9"/>
        <v>0</v>
      </c>
      <c r="S42" s="16" t="e">
        <f>VLOOKUP(B42,#REF!,14,FALSE)</f>
        <v>#REF!</v>
      </c>
      <c r="T42" s="16">
        <f t="shared" si="10"/>
        <v>9143916.666666666</v>
      </c>
    </row>
    <row r="43" spans="1:20" x14ac:dyDescent="0.25">
      <c r="A43" s="22">
        <v>40</v>
      </c>
      <c r="B43" s="4" t="s">
        <v>167</v>
      </c>
      <c r="C43" s="196">
        <v>1175.8</v>
      </c>
      <c r="D43" s="14">
        <f>660*2</f>
        <v>1320</v>
      </c>
      <c r="E43" s="14">
        <f>D43*0.85</f>
        <v>1122</v>
      </c>
      <c r="F43" s="24">
        <v>5.75</v>
      </c>
      <c r="G43" s="14">
        <f>(E43*(100-F43)%*1000*24*365)/1000000</f>
        <v>9263.5686000000005</v>
      </c>
      <c r="H43" s="23">
        <f t="shared" si="2"/>
        <v>1.2692732690509789</v>
      </c>
      <c r="J43" s="141"/>
      <c r="K43" s="25">
        <f t="shared" si="4"/>
        <v>807840000</v>
      </c>
      <c r="L43" s="25">
        <f t="shared" si="25"/>
        <v>46450800</v>
      </c>
      <c r="M43" s="25">
        <v>0</v>
      </c>
      <c r="N43" s="25">
        <f t="shared" si="30"/>
        <v>0</v>
      </c>
      <c r="O43" s="25">
        <v>0</v>
      </c>
      <c r="P43" s="25">
        <f t="shared" si="31"/>
        <v>0</v>
      </c>
      <c r="Q43" s="25">
        <f t="shared" si="32"/>
        <v>0</v>
      </c>
      <c r="R43" s="101">
        <f t="shared" si="9"/>
        <v>0</v>
      </c>
      <c r="S43" s="16" t="e">
        <f>VLOOKUP(B43,#REF!,14,FALSE)</f>
        <v>#REF!</v>
      </c>
      <c r="T43" s="16">
        <f t="shared" si="10"/>
        <v>8907575.7575757578</v>
      </c>
    </row>
    <row r="44" spans="1:20" x14ac:dyDescent="0.25">
      <c r="A44" s="22">
        <v>41</v>
      </c>
      <c r="B44" s="4" t="s">
        <v>22</v>
      </c>
      <c r="C44" s="196">
        <v>554.29</v>
      </c>
      <c r="D44" s="24">
        <v>840</v>
      </c>
      <c r="E44" s="14">
        <f>D44*0.8</f>
        <v>672</v>
      </c>
      <c r="F44" s="14">
        <v>10</v>
      </c>
      <c r="G44" s="14">
        <f t="shared" si="1"/>
        <v>5298.0480000000007</v>
      </c>
      <c r="H44" s="23">
        <f t="shared" si="2"/>
        <v>1.0462155118262422</v>
      </c>
      <c r="J44" s="141"/>
      <c r="K44" s="25">
        <f t="shared" si="4"/>
        <v>483840000</v>
      </c>
      <c r="L44" s="25">
        <f t="shared" si="25"/>
        <v>48384000.000000007</v>
      </c>
      <c r="M44" s="25">
        <v>0</v>
      </c>
      <c r="N44" s="25">
        <f t="shared" si="30"/>
        <v>0</v>
      </c>
      <c r="O44" s="25">
        <v>0</v>
      </c>
      <c r="P44" s="25">
        <f t="shared" si="31"/>
        <v>0</v>
      </c>
      <c r="Q44" s="25">
        <f t="shared" si="32"/>
        <v>0</v>
      </c>
      <c r="R44" s="101">
        <f t="shared" si="9"/>
        <v>0</v>
      </c>
      <c r="S44" s="16" t="e">
        <f>VLOOKUP(B44,#REF!,14,FALSE)</f>
        <v>#REF!</v>
      </c>
      <c r="T44" s="16">
        <f t="shared" si="10"/>
        <v>6598690.4761904757</v>
      </c>
    </row>
    <row r="45" spans="1:20" x14ac:dyDescent="0.25">
      <c r="A45" s="22">
        <v>42</v>
      </c>
      <c r="B45" s="4" t="s">
        <v>25</v>
      </c>
      <c r="C45" s="196">
        <v>318.27999999999997</v>
      </c>
      <c r="D45" s="24">
        <v>500</v>
      </c>
      <c r="E45" s="14">
        <f t="shared" ref="E45:E56" si="37">D45*0.85</f>
        <v>425</v>
      </c>
      <c r="F45" s="14">
        <v>5.75</v>
      </c>
      <c r="G45" s="14">
        <f t="shared" si="1"/>
        <v>3508.9274999999998</v>
      </c>
      <c r="H45" s="23">
        <f t="shared" si="2"/>
        <v>0.90705778332553177</v>
      </c>
      <c r="J45" s="141"/>
      <c r="K45" s="25">
        <f t="shared" si="4"/>
        <v>306000000</v>
      </c>
      <c r="L45" s="25">
        <f t="shared" si="25"/>
        <v>17595000</v>
      </c>
      <c r="M45" s="25">
        <v>0</v>
      </c>
      <c r="N45" s="25">
        <f t="shared" si="30"/>
        <v>0</v>
      </c>
      <c r="O45" s="25">
        <v>0</v>
      </c>
      <c r="P45" s="25">
        <f t="shared" si="31"/>
        <v>0</v>
      </c>
      <c r="Q45" s="25">
        <f t="shared" si="32"/>
        <v>0</v>
      </c>
      <c r="R45" s="101">
        <f t="shared" si="9"/>
        <v>0</v>
      </c>
      <c r="S45" s="16" t="e">
        <f>VLOOKUP(B45,#REF!,14,FALSE)</f>
        <v>#REF!</v>
      </c>
      <c r="T45" s="16">
        <f t="shared" si="10"/>
        <v>6365599.9999999991</v>
      </c>
    </row>
    <row r="46" spans="1:20" x14ac:dyDescent="0.25">
      <c r="A46" s="22">
        <v>43</v>
      </c>
      <c r="B46" s="4" t="s">
        <v>24</v>
      </c>
      <c r="C46" s="196">
        <v>173.73</v>
      </c>
      <c r="D46" s="24">
        <v>210</v>
      </c>
      <c r="E46" s="14">
        <f t="shared" si="37"/>
        <v>178.5</v>
      </c>
      <c r="F46" s="14">
        <v>9</v>
      </c>
      <c r="G46" s="14">
        <f t="shared" si="1"/>
        <v>1422.9305999999999</v>
      </c>
      <c r="H46" s="23">
        <f t="shared" si="2"/>
        <v>1.2209309435049047</v>
      </c>
      <c r="J46" s="141"/>
      <c r="K46" s="25">
        <f t="shared" si="4"/>
        <v>128520000</v>
      </c>
      <c r="L46" s="25">
        <f t="shared" si="25"/>
        <v>11566800</v>
      </c>
      <c r="M46" s="25">
        <v>0</v>
      </c>
      <c r="N46" s="25">
        <f t="shared" si="30"/>
        <v>0</v>
      </c>
      <c r="O46" s="25">
        <v>0</v>
      </c>
      <c r="P46" s="25">
        <f t="shared" si="31"/>
        <v>0</v>
      </c>
      <c r="Q46" s="25">
        <f t="shared" si="32"/>
        <v>0</v>
      </c>
      <c r="R46" s="101">
        <f t="shared" si="9"/>
        <v>0</v>
      </c>
      <c r="S46" s="16" t="e">
        <f>VLOOKUP(B46,#REF!,14,FALSE)</f>
        <v>#REF!</v>
      </c>
      <c r="T46" s="16">
        <f t="shared" si="10"/>
        <v>8272857.1428571427</v>
      </c>
    </row>
    <row r="47" spans="1:20" x14ac:dyDescent="0.25">
      <c r="A47" s="22">
        <v>44</v>
      </c>
      <c r="B47" s="4" t="s">
        <v>46</v>
      </c>
      <c r="C47" s="196">
        <v>9.9600000000000009</v>
      </c>
      <c r="D47" s="14">
        <v>115</v>
      </c>
      <c r="E47" s="14">
        <f t="shared" si="37"/>
        <v>97.75</v>
      </c>
      <c r="F47" s="14">
        <v>0.7</v>
      </c>
      <c r="G47" s="14">
        <f t="shared" si="1"/>
        <v>850.29597000000001</v>
      </c>
      <c r="H47" s="23">
        <f t="shared" si="2"/>
        <v>0.11713568394308632</v>
      </c>
      <c r="J47" s="141"/>
      <c r="K47" s="25">
        <f t="shared" si="4"/>
        <v>70380000</v>
      </c>
      <c r="L47" s="25">
        <f t="shared" si="25"/>
        <v>492659.99999999988</v>
      </c>
      <c r="M47" s="25">
        <v>0</v>
      </c>
      <c r="N47" s="25">
        <f t="shared" si="30"/>
        <v>0</v>
      </c>
      <c r="O47" s="25">
        <v>0</v>
      </c>
      <c r="P47" s="25">
        <f t="shared" si="31"/>
        <v>0</v>
      </c>
      <c r="Q47" s="25">
        <f t="shared" si="32"/>
        <v>0</v>
      </c>
      <c r="R47" s="101">
        <f t="shared" si="9"/>
        <v>0</v>
      </c>
      <c r="S47" s="16" t="e">
        <f>VLOOKUP(B47,#REF!,14,FALSE)</f>
        <v>#REF!</v>
      </c>
      <c r="T47" s="16">
        <f t="shared" si="10"/>
        <v>866086.95652173925</v>
      </c>
    </row>
    <row r="48" spans="1:20" x14ac:dyDescent="0.25">
      <c r="A48" s="22">
        <v>45</v>
      </c>
      <c r="B48" s="4" t="s">
        <v>45</v>
      </c>
      <c r="C48" s="196">
        <v>24.23667</v>
      </c>
      <c r="D48" s="14">
        <v>160</v>
      </c>
      <c r="E48" s="14">
        <f t="shared" si="37"/>
        <v>136</v>
      </c>
      <c r="F48" s="14">
        <v>0.9</v>
      </c>
      <c r="G48" s="14">
        <f t="shared" si="1"/>
        <v>1180.6377600000001</v>
      </c>
      <c r="H48" s="23">
        <f t="shared" si="2"/>
        <v>0.20528455739040566</v>
      </c>
      <c r="J48" s="141"/>
      <c r="K48" s="25">
        <f t="shared" si="4"/>
        <v>97920000</v>
      </c>
      <c r="L48" s="25">
        <f t="shared" si="25"/>
        <v>881280.00000000023</v>
      </c>
      <c r="M48" s="25">
        <v>0</v>
      </c>
      <c r="N48" s="25">
        <f t="shared" si="30"/>
        <v>0</v>
      </c>
      <c r="O48" s="25">
        <v>0</v>
      </c>
      <c r="P48" s="25">
        <f t="shared" si="31"/>
        <v>0</v>
      </c>
      <c r="Q48" s="25">
        <f t="shared" si="32"/>
        <v>0</v>
      </c>
      <c r="R48" s="101">
        <f t="shared" si="9"/>
        <v>0</v>
      </c>
      <c r="S48" s="16" t="e">
        <f>VLOOKUP(B48,#REF!,14,FALSE)</f>
        <v>#REF!</v>
      </c>
      <c r="T48" s="16">
        <f t="shared" si="10"/>
        <v>1514791.875</v>
      </c>
    </row>
    <row r="49" spans="1:20" x14ac:dyDescent="0.25">
      <c r="A49" s="22">
        <v>46</v>
      </c>
      <c r="B49" s="4" t="s">
        <v>35</v>
      </c>
      <c r="C49" s="196">
        <v>10.16437</v>
      </c>
      <c r="D49" s="14">
        <v>45</v>
      </c>
      <c r="E49" s="14">
        <f t="shared" si="37"/>
        <v>38.25</v>
      </c>
      <c r="F49" s="14">
        <v>1</v>
      </c>
      <c r="G49" s="14">
        <f t="shared" si="1"/>
        <v>331.71929999999998</v>
      </c>
      <c r="H49" s="23">
        <f t="shared" si="2"/>
        <v>0.30641479105979064</v>
      </c>
      <c r="J49" s="141"/>
      <c r="K49" s="25">
        <f t="shared" si="4"/>
        <v>27540000</v>
      </c>
      <c r="L49" s="25">
        <f t="shared" si="25"/>
        <v>275400</v>
      </c>
      <c r="M49" s="25">
        <v>0</v>
      </c>
      <c r="N49" s="25">
        <f t="shared" si="30"/>
        <v>0</v>
      </c>
      <c r="O49" s="25">
        <v>0</v>
      </c>
      <c r="P49" s="25">
        <f t="shared" si="31"/>
        <v>0</v>
      </c>
      <c r="Q49" s="25">
        <f t="shared" si="32"/>
        <v>0</v>
      </c>
      <c r="R49" s="101">
        <f t="shared" si="9"/>
        <v>0</v>
      </c>
      <c r="S49" s="16" t="e">
        <f>VLOOKUP(B49,#REF!,14,FALSE)</f>
        <v>#REF!</v>
      </c>
      <c r="T49" s="16">
        <f t="shared" si="10"/>
        <v>2258748.888888889</v>
      </c>
    </row>
    <row r="50" spans="1:20" x14ac:dyDescent="0.25">
      <c r="A50" s="22">
        <v>47</v>
      </c>
      <c r="B50" s="4" t="s">
        <v>47</v>
      </c>
      <c r="C50" s="196">
        <v>19.07</v>
      </c>
      <c r="D50" s="14">
        <v>90</v>
      </c>
      <c r="E50" s="14">
        <f t="shared" si="37"/>
        <v>76.5</v>
      </c>
      <c r="F50" s="14">
        <v>1</v>
      </c>
      <c r="G50" s="14">
        <f t="shared" si="1"/>
        <v>663.43859999999995</v>
      </c>
      <c r="H50" s="23">
        <f t="shared" si="2"/>
        <v>0.28744182204653151</v>
      </c>
      <c r="J50" s="141"/>
      <c r="K50" s="25">
        <f t="shared" si="4"/>
        <v>55080000</v>
      </c>
      <c r="L50" s="25">
        <f t="shared" si="25"/>
        <v>550800</v>
      </c>
      <c r="M50" s="25">
        <v>0</v>
      </c>
      <c r="N50" s="25">
        <f t="shared" si="30"/>
        <v>0</v>
      </c>
      <c r="O50" s="25">
        <v>0</v>
      </c>
      <c r="P50" s="25">
        <f t="shared" si="31"/>
        <v>0</v>
      </c>
      <c r="Q50" s="25">
        <f t="shared" si="32"/>
        <v>0</v>
      </c>
      <c r="R50" s="101">
        <f t="shared" si="9"/>
        <v>0</v>
      </c>
      <c r="S50" s="16" t="e">
        <f>VLOOKUP(B50,#REF!,14,FALSE)</f>
        <v>#REF!</v>
      </c>
      <c r="T50" s="16">
        <f t="shared" si="10"/>
        <v>2118888.888888889</v>
      </c>
    </row>
    <row r="51" spans="1:20" x14ac:dyDescent="0.25">
      <c r="A51" s="22">
        <v>48</v>
      </c>
      <c r="B51" s="4" t="s">
        <v>42</v>
      </c>
      <c r="C51" s="196">
        <v>107.1</v>
      </c>
      <c r="D51" s="14">
        <v>315</v>
      </c>
      <c r="E51" s="14">
        <f t="shared" si="37"/>
        <v>267.75</v>
      </c>
      <c r="F51" s="14">
        <v>1</v>
      </c>
      <c r="G51" s="14">
        <f t="shared" si="1"/>
        <v>2322.0351000000001</v>
      </c>
      <c r="H51" s="23">
        <f t="shared" si="2"/>
        <v>0.46123333794566668</v>
      </c>
      <c r="J51" s="141"/>
      <c r="K51" s="25">
        <f t="shared" si="4"/>
        <v>192780000</v>
      </c>
      <c r="L51" s="25">
        <f t="shared" si="25"/>
        <v>1927800.0000000002</v>
      </c>
      <c r="M51" s="25">
        <v>0</v>
      </c>
      <c r="N51" s="25">
        <f t="shared" si="30"/>
        <v>0</v>
      </c>
      <c r="O51" s="25">
        <v>0</v>
      </c>
      <c r="P51" s="25">
        <f t="shared" si="31"/>
        <v>0</v>
      </c>
      <c r="Q51" s="25">
        <f t="shared" si="32"/>
        <v>0</v>
      </c>
      <c r="R51" s="101">
        <f t="shared" si="9"/>
        <v>0</v>
      </c>
      <c r="S51" s="16" t="e">
        <f>VLOOKUP(B51,#REF!,14,FALSE)</f>
        <v>#REF!</v>
      </c>
      <c r="T51" s="16">
        <f t="shared" si="10"/>
        <v>3400000</v>
      </c>
    </row>
    <row r="52" spans="1:20" x14ac:dyDescent="0.25">
      <c r="A52" s="22">
        <v>49</v>
      </c>
      <c r="B52" s="4" t="s">
        <v>44</v>
      </c>
      <c r="C52" s="196">
        <v>10.210000000000001</v>
      </c>
      <c r="D52" s="14">
        <v>30</v>
      </c>
      <c r="E52" s="14">
        <f t="shared" si="37"/>
        <v>25.5</v>
      </c>
      <c r="F52" s="14">
        <v>1</v>
      </c>
      <c r="G52" s="14">
        <f t="shared" si="1"/>
        <v>221.14619999999999</v>
      </c>
      <c r="H52" s="23">
        <f t="shared" si="2"/>
        <v>0.46168552749267233</v>
      </c>
      <c r="J52" s="141"/>
      <c r="K52" s="25">
        <f t="shared" si="4"/>
        <v>18360000</v>
      </c>
      <c r="L52" s="25">
        <f t="shared" si="25"/>
        <v>183600</v>
      </c>
      <c r="M52" s="25">
        <v>0</v>
      </c>
      <c r="N52" s="25">
        <f t="shared" si="30"/>
        <v>0</v>
      </c>
      <c r="O52" s="25">
        <v>0</v>
      </c>
      <c r="P52" s="25">
        <f t="shared" si="31"/>
        <v>0</v>
      </c>
      <c r="Q52" s="25">
        <f t="shared" si="32"/>
        <v>0</v>
      </c>
      <c r="R52" s="101">
        <f t="shared" si="9"/>
        <v>0</v>
      </c>
      <c r="S52" s="16" t="e">
        <f>VLOOKUP(B52,#REF!,14,FALSE)</f>
        <v>#REF!</v>
      </c>
      <c r="T52" s="16">
        <f t="shared" si="10"/>
        <v>3403333.333333334</v>
      </c>
    </row>
    <row r="53" spans="1:20" x14ac:dyDescent="0.25">
      <c r="A53" s="22">
        <v>50</v>
      </c>
      <c r="B53" s="4" t="s">
        <v>39</v>
      </c>
      <c r="C53" s="196">
        <v>20.39</v>
      </c>
      <c r="D53" s="14">
        <v>60</v>
      </c>
      <c r="E53" s="14">
        <f t="shared" si="37"/>
        <v>51</v>
      </c>
      <c r="F53" s="14">
        <v>1</v>
      </c>
      <c r="G53" s="14">
        <f t="shared" si="1"/>
        <v>442.29239999999999</v>
      </c>
      <c r="H53" s="23">
        <f t="shared" si="2"/>
        <v>0.46100724317216396</v>
      </c>
      <c r="J53" s="141"/>
      <c r="K53" s="25">
        <f t="shared" si="4"/>
        <v>36720000</v>
      </c>
      <c r="L53" s="25">
        <f t="shared" si="25"/>
        <v>367200</v>
      </c>
      <c r="M53" s="25">
        <v>0</v>
      </c>
      <c r="N53" s="25">
        <f t="shared" si="30"/>
        <v>0</v>
      </c>
      <c r="O53" s="25">
        <v>0</v>
      </c>
      <c r="P53" s="25">
        <f t="shared" si="31"/>
        <v>0</v>
      </c>
      <c r="Q53" s="25">
        <f t="shared" si="32"/>
        <v>0</v>
      </c>
      <c r="R53" s="101">
        <f t="shared" si="9"/>
        <v>0</v>
      </c>
      <c r="S53" s="16" t="e">
        <f>VLOOKUP(B53,#REF!,14,FALSE)</f>
        <v>#REF!</v>
      </c>
      <c r="T53" s="16">
        <f t="shared" si="10"/>
        <v>3398333.3333333335</v>
      </c>
    </row>
    <row r="54" spans="1:20" x14ac:dyDescent="0.25">
      <c r="A54" s="22">
        <v>51</v>
      </c>
      <c r="B54" s="4" t="s">
        <v>38</v>
      </c>
      <c r="C54" s="196">
        <v>10.28</v>
      </c>
      <c r="D54" s="14">
        <v>20</v>
      </c>
      <c r="E54" s="14">
        <f t="shared" si="37"/>
        <v>17</v>
      </c>
      <c r="F54" s="14">
        <v>1</v>
      </c>
      <c r="G54" s="14">
        <f t="shared" si="1"/>
        <v>147.4308</v>
      </c>
      <c r="H54" s="23">
        <f t="shared" si="2"/>
        <v>0.69727628148256671</v>
      </c>
      <c r="J54" s="141"/>
      <c r="K54" s="25">
        <f t="shared" si="4"/>
        <v>12240000</v>
      </c>
      <c r="L54" s="25">
        <f t="shared" si="25"/>
        <v>122400</v>
      </c>
      <c r="M54" s="25">
        <v>0</v>
      </c>
      <c r="N54" s="25">
        <f t="shared" si="30"/>
        <v>0</v>
      </c>
      <c r="O54" s="25">
        <v>0</v>
      </c>
      <c r="P54" s="25">
        <f t="shared" si="31"/>
        <v>0</v>
      </c>
      <c r="Q54" s="25">
        <f t="shared" si="32"/>
        <v>0</v>
      </c>
      <c r="R54" s="101">
        <f t="shared" si="9"/>
        <v>0</v>
      </c>
      <c r="S54" s="16" t="e">
        <f>VLOOKUP(B54,#REF!,14,FALSE)</f>
        <v>#REF!</v>
      </c>
      <c r="T54" s="16">
        <f t="shared" si="10"/>
        <v>5140000</v>
      </c>
    </row>
    <row r="55" spans="1:20" x14ac:dyDescent="0.25">
      <c r="A55" s="22">
        <v>52</v>
      </c>
      <c r="B55" s="4" t="s">
        <v>41</v>
      </c>
      <c r="C55" s="196">
        <v>6.05</v>
      </c>
      <c r="D55" s="14">
        <v>20</v>
      </c>
      <c r="E55" s="14">
        <f t="shared" si="37"/>
        <v>17</v>
      </c>
      <c r="F55" s="14">
        <v>1</v>
      </c>
      <c r="G55" s="14">
        <f t="shared" si="1"/>
        <v>147.4308</v>
      </c>
      <c r="H55" s="23">
        <f t="shared" si="2"/>
        <v>0.41036201390754168</v>
      </c>
      <c r="J55" s="141"/>
      <c r="K55" s="25">
        <f t="shared" si="4"/>
        <v>12240000</v>
      </c>
      <c r="L55" s="25">
        <f t="shared" si="25"/>
        <v>122400</v>
      </c>
      <c r="M55" s="25">
        <v>0</v>
      </c>
      <c r="N55" s="25">
        <f t="shared" si="30"/>
        <v>0</v>
      </c>
      <c r="O55" s="25">
        <v>0</v>
      </c>
      <c r="P55" s="25">
        <f t="shared" si="31"/>
        <v>0</v>
      </c>
      <c r="Q55" s="25">
        <f t="shared" si="32"/>
        <v>0</v>
      </c>
      <c r="R55" s="101">
        <f t="shared" si="9"/>
        <v>0</v>
      </c>
      <c r="S55" s="16" t="e">
        <f>VLOOKUP(B55,#REF!,14,FALSE)</f>
        <v>#REF!</v>
      </c>
      <c r="T55" s="16">
        <f t="shared" si="10"/>
        <v>3025000</v>
      </c>
    </row>
    <row r="56" spans="1:20" x14ac:dyDescent="0.25">
      <c r="A56" s="22">
        <v>53</v>
      </c>
      <c r="B56" s="13" t="s">
        <v>58</v>
      </c>
      <c r="C56" s="196">
        <v>20.87</v>
      </c>
      <c r="D56" s="14">
        <v>60</v>
      </c>
      <c r="E56" s="14">
        <f t="shared" si="37"/>
        <v>51</v>
      </c>
      <c r="F56" s="14">
        <v>1</v>
      </c>
      <c r="G56" s="14">
        <f t="shared" si="1"/>
        <v>442.29239999999999</v>
      </c>
      <c r="H56" s="23">
        <f t="shared" si="2"/>
        <v>0.47185979230029734</v>
      </c>
      <c r="J56" s="141"/>
      <c r="K56" s="25">
        <f t="shared" si="4"/>
        <v>36720000</v>
      </c>
      <c r="L56" s="25">
        <f t="shared" si="25"/>
        <v>367200</v>
      </c>
      <c r="M56" s="25">
        <v>0</v>
      </c>
      <c r="N56" s="25">
        <f t="shared" si="30"/>
        <v>0</v>
      </c>
      <c r="O56" s="25">
        <v>0</v>
      </c>
      <c r="P56" s="25">
        <f t="shared" si="31"/>
        <v>0</v>
      </c>
      <c r="Q56" s="25">
        <f t="shared" si="32"/>
        <v>0</v>
      </c>
      <c r="R56" s="101">
        <f t="shared" si="9"/>
        <v>0</v>
      </c>
      <c r="S56" s="16" t="e">
        <f>VLOOKUP(B56,#REF!,14,FALSE)</f>
        <v>#REF!</v>
      </c>
      <c r="T56" s="16">
        <f t="shared" si="10"/>
        <v>3478333.3333333335</v>
      </c>
    </row>
    <row r="57" spans="1:20" x14ac:dyDescent="0.25">
      <c r="A57" s="22">
        <v>54</v>
      </c>
      <c r="B57" s="20" t="s">
        <v>64</v>
      </c>
      <c r="C57" s="196">
        <f>523.1561/2</f>
        <v>261.57805000000002</v>
      </c>
      <c r="D57" s="14">
        <v>1000</v>
      </c>
      <c r="E57" s="14">
        <f t="shared" ref="E57:E66" si="38">D57*0.85</f>
        <v>850</v>
      </c>
      <c r="F57" s="14">
        <v>1</v>
      </c>
      <c r="G57" s="14">
        <f t="shared" si="1"/>
        <v>7371.54</v>
      </c>
      <c r="H57" s="23">
        <f t="shared" si="2"/>
        <v>0.35484857980828977</v>
      </c>
      <c r="I57" s="16">
        <f>((H57*25)+(H58*11))/(25+11)</f>
        <v>0.38160231305040604</v>
      </c>
      <c r="J57" s="141"/>
      <c r="K57" s="25">
        <f t="shared" si="4"/>
        <v>612000000</v>
      </c>
      <c r="L57" s="25">
        <f t="shared" si="25"/>
        <v>6120000</v>
      </c>
      <c r="M57" s="25">
        <v>0.15</v>
      </c>
      <c r="N57" s="25">
        <f t="shared" si="30"/>
        <v>918000</v>
      </c>
      <c r="O57" s="25">
        <v>0.73199999999999998</v>
      </c>
      <c r="P57" s="25">
        <f t="shared" si="31"/>
        <v>4479840</v>
      </c>
      <c r="Q57" s="25">
        <f t="shared" si="32"/>
        <v>5397840</v>
      </c>
      <c r="R57" s="101">
        <f t="shared" si="9"/>
        <v>8.8199999999999997E-3</v>
      </c>
      <c r="S57" s="16" t="e">
        <f>VLOOKUP(B57,#REF!,14,FALSE)</f>
        <v>#REF!</v>
      </c>
      <c r="T57" s="16">
        <f t="shared" si="10"/>
        <v>2615780.5</v>
      </c>
    </row>
    <row r="58" spans="1:20" x14ac:dyDescent="0.25">
      <c r="A58" s="22">
        <v>55</v>
      </c>
      <c r="B58" s="20" t="s">
        <v>65</v>
      </c>
      <c r="C58" s="196">
        <f>339.1664/2</f>
        <v>169.58320000000001</v>
      </c>
      <c r="D58" s="14">
        <v>520</v>
      </c>
      <c r="E58" s="14">
        <f t="shared" si="38"/>
        <v>442</v>
      </c>
      <c r="F58" s="14">
        <v>1</v>
      </c>
      <c r="G58" s="14">
        <f t="shared" si="1"/>
        <v>3833.2008000000001</v>
      </c>
      <c r="H58" s="23">
        <f t="shared" si="2"/>
        <v>0.44240625223703389</v>
      </c>
      <c r="J58" s="141"/>
      <c r="K58" s="25">
        <f t="shared" si="4"/>
        <v>318240000</v>
      </c>
      <c r="L58" s="25">
        <f t="shared" si="25"/>
        <v>3182400</v>
      </c>
      <c r="M58" s="25">
        <v>0.15</v>
      </c>
      <c r="N58" s="25">
        <f t="shared" si="30"/>
        <v>477360</v>
      </c>
      <c r="O58" s="25">
        <v>0.73199999999999998</v>
      </c>
      <c r="P58" s="25">
        <f t="shared" si="31"/>
        <v>2329516.7999999998</v>
      </c>
      <c r="Q58" s="25">
        <f t="shared" si="32"/>
        <v>2806876.8</v>
      </c>
      <c r="R58" s="101">
        <f t="shared" si="9"/>
        <v>8.8199999999999997E-3</v>
      </c>
      <c r="S58" s="16" t="e">
        <f>VLOOKUP(B58,#REF!,14,FALSE)</f>
        <v>#REF!</v>
      </c>
      <c r="T58" s="16">
        <f t="shared" si="10"/>
        <v>3261215.3846153845</v>
      </c>
    </row>
    <row r="59" spans="1:20" x14ac:dyDescent="0.25">
      <c r="A59" s="22">
        <v>56</v>
      </c>
      <c r="B59" s="20" t="s">
        <v>40</v>
      </c>
      <c r="C59" s="199">
        <f>356.858/2</f>
        <v>178.429</v>
      </c>
      <c r="D59" s="14">
        <v>826.5</v>
      </c>
      <c r="E59" s="14">
        <f t="shared" si="38"/>
        <v>702.52499999999998</v>
      </c>
      <c r="F59" s="14">
        <v>1.2</v>
      </c>
      <c r="G59" s="14">
        <f t="shared" si="1"/>
        <v>6080.2695720000002</v>
      </c>
      <c r="H59" s="23">
        <f t="shared" si="2"/>
        <v>0.29345573890617621</v>
      </c>
      <c r="J59" s="141"/>
      <c r="K59" s="25">
        <f t="shared" si="4"/>
        <v>505817999.99999994</v>
      </c>
      <c r="L59" s="25">
        <f t="shared" si="25"/>
        <v>6069815.9999999991</v>
      </c>
      <c r="M59" s="25"/>
      <c r="N59" s="25">
        <f t="shared" si="30"/>
        <v>0</v>
      </c>
      <c r="O59" s="25"/>
      <c r="P59" s="25">
        <f t="shared" si="31"/>
        <v>0</v>
      </c>
      <c r="Q59" s="25">
        <f t="shared" si="32"/>
        <v>0</v>
      </c>
      <c r="R59" s="101">
        <f t="shared" si="9"/>
        <v>0</v>
      </c>
      <c r="S59" s="16" t="e">
        <f>VLOOKUP(B59,#REF!,14,FALSE)</f>
        <v>#REF!</v>
      </c>
      <c r="T59" s="16">
        <f t="shared" si="10"/>
        <v>2158850.5747126439</v>
      </c>
    </row>
    <row r="60" spans="1:20" x14ac:dyDescent="0.25">
      <c r="A60" s="22">
        <v>57</v>
      </c>
      <c r="B60" s="25" t="s">
        <v>70</v>
      </c>
      <c r="C60" s="200">
        <v>1405.33</v>
      </c>
      <c r="D60" s="14">
        <v>1200</v>
      </c>
      <c r="E60" s="14">
        <f>D60*0.85</f>
        <v>1020</v>
      </c>
      <c r="F60" s="14">
        <v>6.25</v>
      </c>
      <c r="G60" s="14">
        <f t="shared" si="1"/>
        <v>8376.75</v>
      </c>
      <c r="H60" s="23">
        <f t="shared" si="2"/>
        <v>1.6776554152863581</v>
      </c>
      <c r="J60" s="141"/>
      <c r="K60" s="25">
        <f t="shared" si="4"/>
        <v>734400000</v>
      </c>
      <c r="L60" s="25">
        <f t="shared" si="25"/>
        <v>45900000</v>
      </c>
      <c r="M60" s="25">
        <v>0.15</v>
      </c>
      <c r="N60" s="25">
        <f t="shared" si="30"/>
        <v>6885000</v>
      </c>
      <c r="O60" s="25">
        <v>0.61199999999999999</v>
      </c>
      <c r="P60" s="25">
        <f t="shared" si="31"/>
        <v>28090800</v>
      </c>
      <c r="Q60" s="25">
        <f t="shared" si="32"/>
        <v>34975800</v>
      </c>
      <c r="R60" s="101">
        <f t="shared" si="9"/>
        <v>4.7625000000000001E-2</v>
      </c>
      <c r="S60" s="16" t="e">
        <f>VLOOKUP(B60,#REF!,14,FALSE)</f>
        <v>#REF!</v>
      </c>
      <c r="T60" s="16">
        <f t="shared" si="10"/>
        <v>11711083.333333334</v>
      </c>
    </row>
    <row r="61" spans="1:20" x14ac:dyDescent="0.25">
      <c r="A61" s="22">
        <v>58</v>
      </c>
      <c r="B61" s="4" t="s">
        <v>106</v>
      </c>
      <c r="C61" s="155">
        <v>223.77</v>
      </c>
      <c r="D61" s="14">
        <v>210</v>
      </c>
      <c r="E61" s="14">
        <f>D61*0.85</f>
        <v>178.5</v>
      </c>
      <c r="F61" s="14">
        <v>6.25</v>
      </c>
      <c r="G61" s="14">
        <f>(E61*(100-F61)%*1000*24*365)/1000000</f>
        <v>1465.9312500000001</v>
      </c>
      <c r="H61" s="23">
        <f>C61*10/G61</f>
        <v>1.5264699487100777</v>
      </c>
      <c r="J61" s="141"/>
      <c r="K61" s="25">
        <f t="shared" si="4"/>
        <v>128520000</v>
      </c>
      <c r="L61" s="25">
        <f t="shared" si="25"/>
        <v>8032500</v>
      </c>
      <c r="M61" s="25">
        <v>0.15</v>
      </c>
      <c r="N61" s="25">
        <f t="shared" si="30"/>
        <v>1204875</v>
      </c>
      <c r="O61" s="25">
        <v>0.61199999999999999</v>
      </c>
      <c r="P61" s="25">
        <f t="shared" si="31"/>
        <v>4915890</v>
      </c>
      <c r="Q61" s="25">
        <f t="shared" si="32"/>
        <v>6120765</v>
      </c>
      <c r="R61" s="101">
        <f t="shared" si="9"/>
        <v>4.7625000000000001E-2</v>
      </c>
      <c r="S61" s="16" t="e">
        <f>VLOOKUP(B61,#REF!,14,FALSE)</f>
        <v>#REF!</v>
      </c>
      <c r="T61" s="16">
        <f t="shared" si="10"/>
        <v>10655714.285714285</v>
      </c>
    </row>
    <row r="62" spans="1:20" x14ac:dyDescent="0.25">
      <c r="A62" s="22">
        <v>59</v>
      </c>
      <c r="B62" s="20" t="s">
        <v>98</v>
      </c>
      <c r="C62" s="200">
        <f>751.5</f>
        <v>751.5</v>
      </c>
      <c r="D62" s="14">
        <v>600</v>
      </c>
      <c r="E62" s="14">
        <f t="shared" si="38"/>
        <v>510</v>
      </c>
      <c r="F62" s="14">
        <v>5.75</v>
      </c>
      <c r="G62" s="14">
        <f>(E62*(100-F62)%*1000*24*365)/1000000</f>
        <v>4210.7129999999997</v>
      </c>
      <c r="H62" s="23">
        <f t="shared" si="2"/>
        <v>1.7847333693842351</v>
      </c>
      <c r="J62" s="141"/>
      <c r="K62" s="25">
        <f t="shared" si="4"/>
        <v>367200000</v>
      </c>
      <c r="L62" s="25">
        <f t="shared" si="25"/>
        <v>21114000.000000004</v>
      </c>
      <c r="M62" s="25">
        <v>0.15</v>
      </c>
      <c r="N62" s="25">
        <f t="shared" si="30"/>
        <v>3167100.0000000005</v>
      </c>
      <c r="O62" s="25">
        <v>0.83</v>
      </c>
      <c r="P62" s="25">
        <f t="shared" si="31"/>
        <v>17524620.000000004</v>
      </c>
      <c r="Q62" s="25">
        <f t="shared" si="32"/>
        <v>20691720.000000004</v>
      </c>
      <c r="R62" s="101">
        <f t="shared" si="9"/>
        <v>5.6350000000000011E-2</v>
      </c>
      <c r="S62" s="16" t="e">
        <f>VLOOKUP(B62,#REF!,14,FALSE)</f>
        <v>#REF!</v>
      </c>
      <c r="T62" s="16">
        <f t="shared" si="10"/>
        <v>12525000</v>
      </c>
    </row>
    <row r="63" spans="1:20" x14ac:dyDescent="0.25">
      <c r="A63" s="22">
        <v>60</v>
      </c>
      <c r="B63" s="4" t="s">
        <v>282</v>
      </c>
      <c r="C63" s="25">
        <v>0</v>
      </c>
      <c r="D63" s="14">
        <v>0</v>
      </c>
      <c r="E63" s="14">
        <f t="shared" si="38"/>
        <v>0</v>
      </c>
      <c r="F63" s="14">
        <v>5.75</v>
      </c>
      <c r="G63" s="14">
        <f>(E63*(100-F63)%*1000*24*365)/1000000</f>
        <v>0</v>
      </c>
      <c r="H63" s="23">
        <v>0</v>
      </c>
      <c r="J63" s="141"/>
      <c r="K63" s="25">
        <f t="shared" si="4"/>
        <v>0</v>
      </c>
      <c r="L63" s="25">
        <f t="shared" si="25"/>
        <v>0</v>
      </c>
      <c r="M63" s="25">
        <v>0</v>
      </c>
      <c r="N63" s="25">
        <f t="shared" si="30"/>
        <v>0</v>
      </c>
      <c r="O63" s="25">
        <v>0</v>
      </c>
      <c r="P63" s="25">
        <f t="shared" si="31"/>
        <v>0</v>
      </c>
      <c r="Q63" s="25">
        <f t="shared" si="32"/>
        <v>0</v>
      </c>
      <c r="R63" s="101">
        <f t="shared" si="9"/>
        <v>0</v>
      </c>
      <c r="S63" s="16" t="e">
        <f>VLOOKUP(B63,#REF!,14,FALSE)</f>
        <v>#REF!</v>
      </c>
      <c r="T63" s="16" t="e">
        <f t="shared" si="10"/>
        <v>#DIV/0!</v>
      </c>
    </row>
    <row r="64" spans="1:20" x14ac:dyDescent="0.25">
      <c r="A64" s="22">
        <v>61</v>
      </c>
      <c r="B64" s="4" t="s">
        <v>101</v>
      </c>
      <c r="C64" s="25"/>
      <c r="D64" s="14"/>
      <c r="E64" s="14"/>
      <c r="F64" s="14">
        <v>10</v>
      </c>
      <c r="G64" s="14"/>
      <c r="H64" s="143">
        <v>1.88</v>
      </c>
      <c r="J64" s="141"/>
      <c r="K64" s="25">
        <f t="shared" si="4"/>
        <v>0</v>
      </c>
      <c r="L64" s="25">
        <f t="shared" si="25"/>
        <v>0</v>
      </c>
      <c r="M64" s="25">
        <v>0</v>
      </c>
      <c r="N64" s="25">
        <f t="shared" si="30"/>
        <v>0</v>
      </c>
      <c r="O64" s="25">
        <v>0</v>
      </c>
      <c r="P64" s="25">
        <f t="shared" si="31"/>
        <v>0</v>
      </c>
      <c r="Q64" s="25">
        <f t="shared" si="32"/>
        <v>0</v>
      </c>
      <c r="R64" s="101">
        <f t="shared" si="9"/>
        <v>0</v>
      </c>
      <c r="S64" s="16" t="e">
        <f>VLOOKUP(B64,#REF!,14,FALSE)</f>
        <v>#REF!</v>
      </c>
      <c r="T64" s="16" t="e">
        <f t="shared" si="10"/>
        <v>#DIV/0!</v>
      </c>
    </row>
    <row r="65" spans="1:20" x14ac:dyDescent="0.25">
      <c r="A65" s="22">
        <v>62</v>
      </c>
      <c r="B65" s="4" t="s">
        <v>179</v>
      </c>
      <c r="C65" s="25"/>
      <c r="D65" s="14"/>
      <c r="E65" s="14"/>
      <c r="F65" s="14">
        <v>10</v>
      </c>
      <c r="G65" s="14"/>
      <c r="H65" s="143">
        <v>1.88</v>
      </c>
      <c r="J65" s="141"/>
      <c r="K65" s="25">
        <f t="shared" si="4"/>
        <v>0</v>
      </c>
      <c r="L65" s="25">
        <f t="shared" si="25"/>
        <v>0</v>
      </c>
      <c r="M65" s="25">
        <v>0</v>
      </c>
      <c r="N65" s="25">
        <f t="shared" si="30"/>
        <v>0</v>
      </c>
      <c r="O65" s="25">
        <v>0</v>
      </c>
      <c r="P65" s="25">
        <f t="shared" si="31"/>
        <v>0</v>
      </c>
      <c r="Q65" s="25">
        <f t="shared" si="32"/>
        <v>0</v>
      </c>
      <c r="R65" s="101">
        <f t="shared" si="9"/>
        <v>0</v>
      </c>
      <c r="S65" s="16" t="e">
        <f>VLOOKUP(B65,#REF!,14,FALSE)</f>
        <v>#REF!</v>
      </c>
      <c r="T65" s="16" t="e">
        <f t="shared" si="10"/>
        <v>#DIV/0!</v>
      </c>
    </row>
    <row r="66" spans="1:20" x14ac:dyDescent="0.25">
      <c r="A66" s="22">
        <v>63</v>
      </c>
      <c r="B66" s="4" t="s">
        <v>160</v>
      </c>
      <c r="C66">
        <v>191.04300000000001</v>
      </c>
      <c r="D66" s="25">
        <v>419.33</v>
      </c>
      <c r="E66" s="25">
        <f t="shared" si="38"/>
        <v>356.43049999999999</v>
      </c>
      <c r="F66" s="25">
        <v>2.75</v>
      </c>
      <c r="G66" s="14">
        <f t="shared" ref="G66:G73" si="39">(E66*(100-F66)%*1000*24*365)/1000000</f>
        <v>3036.46707255</v>
      </c>
      <c r="H66" s="154">
        <v>0.70899999999999996</v>
      </c>
      <c r="J66" s="141"/>
      <c r="K66" s="25">
        <f t="shared" si="4"/>
        <v>256629960.00000003</v>
      </c>
      <c r="L66" s="25">
        <f t="shared" si="25"/>
        <v>7057323.8999999994</v>
      </c>
      <c r="M66" s="25">
        <v>0</v>
      </c>
      <c r="N66" s="25">
        <f t="shared" si="30"/>
        <v>0</v>
      </c>
      <c r="O66" s="25">
        <v>0</v>
      </c>
      <c r="P66" s="25">
        <f t="shared" si="31"/>
        <v>0</v>
      </c>
      <c r="Q66" s="25">
        <f t="shared" si="32"/>
        <v>0</v>
      </c>
      <c r="R66" s="101">
        <f t="shared" si="9"/>
        <v>0</v>
      </c>
      <c r="S66" s="16" t="e">
        <f>VLOOKUP(B66,#REF!,14,FALSE)</f>
        <v>#REF!</v>
      </c>
      <c r="T66" s="16">
        <f t="shared" si="10"/>
        <v>4555910.6193212988</v>
      </c>
    </row>
    <row r="67" spans="1:20" x14ac:dyDescent="0.25">
      <c r="A67" s="22">
        <v>64</v>
      </c>
      <c r="B67" s="4" t="s">
        <v>162</v>
      </c>
      <c r="C67" s="197">
        <f>C66</f>
        <v>191.04300000000001</v>
      </c>
      <c r="D67" s="25"/>
      <c r="E67" s="25"/>
      <c r="F67" s="25">
        <v>2.75</v>
      </c>
      <c r="G67" s="14">
        <f t="shared" si="39"/>
        <v>0</v>
      </c>
      <c r="H67" s="23">
        <f>H66</f>
        <v>0.70899999999999996</v>
      </c>
      <c r="J67" s="141"/>
      <c r="K67" s="25">
        <f t="shared" si="4"/>
        <v>0</v>
      </c>
      <c r="L67" s="25">
        <f t="shared" si="25"/>
        <v>0</v>
      </c>
      <c r="M67" s="25">
        <v>0</v>
      </c>
      <c r="N67" s="25">
        <f t="shared" si="30"/>
        <v>0</v>
      </c>
      <c r="O67" s="25">
        <v>0</v>
      </c>
      <c r="P67" s="25">
        <f t="shared" si="31"/>
        <v>0</v>
      </c>
      <c r="Q67" s="25">
        <f t="shared" si="32"/>
        <v>0</v>
      </c>
      <c r="R67" s="101">
        <f t="shared" si="9"/>
        <v>0</v>
      </c>
      <c r="S67" s="16" t="e">
        <f>VLOOKUP(B67,#REF!,14,FALSE)</f>
        <v>#REF!</v>
      </c>
      <c r="T67" s="16" t="e">
        <f t="shared" si="10"/>
        <v>#DIV/0!</v>
      </c>
    </row>
    <row r="68" spans="1:20" x14ac:dyDescent="0.25">
      <c r="A68" s="22">
        <v>65</v>
      </c>
      <c r="B68" s="4" t="s">
        <v>161</v>
      </c>
      <c r="C68" s="197">
        <f t="shared" ref="C68:C69" si="40">C67</f>
        <v>191.04300000000001</v>
      </c>
      <c r="D68" s="25"/>
      <c r="E68" s="25"/>
      <c r="F68" s="25">
        <v>2.75</v>
      </c>
      <c r="G68" s="14">
        <f t="shared" si="39"/>
        <v>0</v>
      </c>
      <c r="H68" s="23">
        <f>H67</f>
        <v>0.70899999999999996</v>
      </c>
      <c r="J68" s="141"/>
      <c r="K68" s="25">
        <f t="shared" si="4"/>
        <v>0</v>
      </c>
      <c r="L68" s="25">
        <f t="shared" si="25"/>
        <v>0</v>
      </c>
      <c r="M68" s="25">
        <v>0</v>
      </c>
      <c r="N68" s="25">
        <f t="shared" si="30"/>
        <v>0</v>
      </c>
      <c r="O68" s="25">
        <v>0</v>
      </c>
      <c r="P68" s="25">
        <f t="shared" si="31"/>
        <v>0</v>
      </c>
      <c r="Q68" s="25">
        <f t="shared" si="32"/>
        <v>0</v>
      </c>
      <c r="R68" s="101">
        <f t="shared" si="9"/>
        <v>0</v>
      </c>
      <c r="S68" s="16" t="e">
        <f>VLOOKUP(B68,#REF!,14,FALSE)</f>
        <v>#REF!</v>
      </c>
      <c r="T68" s="16" t="e">
        <f t="shared" si="10"/>
        <v>#DIV/0!</v>
      </c>
    </row>
    <row r="69" spans="1:20" x14ac:dyDescent="0.25">
      <c r="A69" s="22">
        <v>66</v>
      </c>
      <c r="B69" s="4" t="s">
        <v>242</v>
      </c>
      <c r="C69" s="197">
        <f t="shared" si="40"/>
        <v>191.04300000000001</v>
      </c>
      <c r="D69" s="25"/>
      <c r="E69" s="25"/>
      <c r="F69" s="25">
        <v>2.75</v>
      </c>
      <c r="G69" s="14">
        <f t="shared" si="39"/>
        <v>0</v>
      </c>
      <c r="H69" s="23">
        <f>H68</f>
        <v>0.70899999999999996</v>
      </c>
      <c r="J69" s="141"/>
      <c r="K69" s="25">
        <f t="shared" ref="K69" si="41">E69*24*30*1000</f>
        <v>0</v>
      </c>
      <c r="L69" s="25">
        <f t="shared" ref="L69" si="42">E69*F69%*24*30*1000</f>
        <v>0</v>
      </c>
      <c r="M69" s="25">
        <v>0</v>
      </c>
      <c r="N69" s="25">
        <f t="shared" ref="N69" si="43">L69*M69</f>
        <v>0</v>
      </c>
      <c r="O69" s="25">
        <v>0</v>
      </c>
      <c r="P69" s="25">
        <f t="shared" ref="P69" si="44">O69*L69</f>
        <v>0</v>
      </c>
      <c r="Q69" s="25">
        <f t="shared" ref="Q69" si="45">P69+N69</f>
        <v>0</v>
      </c>
      <c r="R69" s="101">
        <f t="shared" ref="R69" si="46">IFERROR((Q69/K69),0)</f>
        <v>0</v>
      </c>
      <c r="S69" s="16" t="e">
        <f>VLOOKUP(B69,#REF!,14,FALSE)</f>
        <v>#REF!</v>
      </c>
      <c r="T69" s="16" t="e">
        <f t="shared" ref="T69:T107" si="47">(C69*10^7)/D69</f>
        <v>#DIV/0!</v>
      </c>
    </row>
    <row r="70" spans="1:20" x14ac:dyDescent="0.25">
      <c r="A70" s="22">
        <v>67</v>
      </c>
      <c r="B70" s="4" t="s">
        <v>154</v>
      </c>
      <c r="C70">
        <v>374.30200000000002</v>
      </c>
      <c r="D70" s="25"/>
      <c r="E70" s="25"/>
      <c r="F70" s="25">
        <v>2.75</v>
      </c>
      <c r="G70" s="14">
        <f t="shared" si="39"/>
        <v>0</v>
      </c>
      <c r="H70" s="23">
        <v>0.63500000000000001</v>
      </c>
      <c r="J70" s="141"/>
      <c r="K70" s="25">
        <f t="shared" si="4"/>
        <v>0</v>
      </c>
      <c r="L70" s="25">
        <f t="shared" si="25"/>
        <v>0</v>
      </c>
      <c r="M70" s="25">
        <v>0</v>
      </c>
      <c r="N70" s="25">
        <f t="shared" si="30"/>
        <v>0</v>
      </c>
      <c r="O70" s="25">
        <v>0</v>
      </c>
      <c r="P70" s="25">
        <f t="shared" si="31"/>
        <v>0</v>
      </c>
      <c r="Q70" s="25">
        <f t="shared" si="32"/>
        <v>0</v>
      </c>
      <c r="R70" s="101">
        <f t="shared" si="9"/>
        <v>0</v>
      </c>
      <c r="S70" s="16" t="e">
        <f>VLOOKUP(B70,#REF!,14,FALSE)</f>
        <v>#REF!</v>
      </c>
      <c r="T70" s="16" t="e">
        <f t="shared" si="47"/>
        <v>#DIV/0!</v>
      </c>
    </row>
    <row r="71" spans="1:20" x14ac:dyDescent="0.25">
      <c r="A71" s="22">
        <v>68</v>
      </c>
      <c r="B71" s="4" t="s">
        <v>155</v>
      </c>
      <c r="C71" s="197">
        <f>C70</f>
        <v>374.30200000000002</v>
      </c>
      <c r="D71" s="25"/>
      <c r="E71" s="25"/>
      <c r="F71" s="25">
        <v>2.75</v>
      </c>
      <c r="G71" s="14">
        <f t="shared" si="39"/>
        <v>0</v>
      </c>
      <c r="H71" s="23">
        <f>H70</f>
        <v>0.63500000000000001</v>
      </c>
      <c r="J71" s="141"/>
      <c r="K71" s="25">
        <f t="shared" ref="K71:K86" si="48">E71*24*30*1000</f>
        <v>0</v>
      </c>
      <c r="L71" s="25">
        <f t="shared" si="25"/>
        <v>0</v>
      </c>
      <c r="M71" s="25">
        <v>0</v>
      </c>
      <c r="N71" s="25">
        <f t="shared" si="30"/>
        <v>0</v>
      </c>
      <c r="O71" s="25">
        <v>0</v>
      </c>
      <c r="P71" s="25">
        <f t="shared" si="31"/>
        <v>0</v>
      </c>
      <c r="Q71" s="25">
        <f t="shared" si="32"/>
        <v>0</v>
      </c>
      <c r="R71" s="101">
        <f t="shared" ref="R71:R104" si="49">IFERROR((Q71/K71),0)</f>
        <v>0</v>
      </c>
      <c r="S71" s="16" t="e">
        <f>VLOOKUP(B71,#REF!,14,FALSE)</f>
        <v>#REF!</v>
      </c>
      <c r="T71" s="16" t="e">
        <f t="shared" si="47"/>
        <v>#DIV/0!</v>
      </c>
    </row>
    <row r="72" spans="1:20" x14ac:dyDescent="0.25">
      <c r="A72" s="22">
        <v>69</v>
      </c>
      <c r="B72" s="4" t="s">
        <v>156</v>
      </c>
      <c r="C72" s="197">
        <f>C71</f>
        <v>374.30200000000002</v>
      </c>
      <c r="D72" s="25"/>
      <c r="E72" s="25"/>
      <c r="F72" s="25">
        <v>2.75</v>
      </c>
      <c r="G72" s="14">
        <f t="shared" si="39"/>
        <v>0</v>
      </c>
      <c r="H72" s="23">
        <f>H71</f>
        <v>0.63500000000000001</v>
      </c>
      <c r="J72" s="141"/>
      <c r="K72" s="25">
        <f t="shared" si="48"/>
        <v>0</v>
      </c>
      <c r="L72" s="25">
        <f t="shared" si="25"/>
        <v>0</v>
      </c>
      <c r="M72" s="25">
        <v>0</v>
      </c>
      <c r="N72" s="25">
        <f t="shared" si="30"/>
        <v>0</v>
      </c>
      <c r="O72" s="25">
        <v>0</v>
      </c>
      <c r="P72" s="25">
        <f t="shared" si="31"/>
        <v>0</v>
      </c>
      <c r="Q72" s="25">
        <f t="shared" si="32"/>
        <v>0</v>
      </c>
      <c r="R72" s="101">
        <f t="shared" si="49"/>
        <v>0</v>
      </c>
      <c r="S72" s="16" t="e">
        <f>VLOOKUP(B72,#REF!,14,FALSE)</f>
        <v>#REF!</v>
      </c>
      <c r="T72" s="16" t="e">
        <f t="shared" si="47"/>
        <v>#DIV/0!</v>
      </c>
    </row>
    <row r="73" spans="1:20" x14ac:dyDescent="0.25">
      <c r="A73" s="22">
        <v>70</v>
      </c>
      <c r="B73" s="4" t="s">
        <v>178</v>
      </c>
      <c r="C73" s="197">
        <f>C72</f>
        <v>374.30200000000002</v>
      </c>
      <c r="D73" s="25"/>
      <c r="E73" s="25"/>
      <c r="F73" s="25"/>
      <c r="G73" s="14">
        <f t="shared" si="39"/>
        <v>0</v>
      </c>
      <c r="H73" s="23">
        <f>H72</f>
        <v>0.63500000000000001</v>
      </c>
      <c r="J73" s="141"/>
      <c r="K73" s="25">
        <f t="shared" si="48"/>
        <v>0</v>
      </c>
      <c r="L73" s="25">
        <f t="shared" si="25"/>
        <v>0</v>
      </c>
      <c r="M73" s="25">
        <v>0</v>
      </c>
      <c r="N73" s="25">
        <f t="shared" si="30"/>
        <v>0</v>
      </c>
      <c r="O73" s="25">
        <v>0</v>
      </c>
      <c r="P73" s="25">
        <f t="shared" si="31"/>
        <v>0</v>
      </c>
      <c r="Q73" s="25">
        <f t="shared" si="32"/>
        <v>0</v>
      </c>
      <c r="R73" s="101">
        <f t="shared" si="49"/>
        <v>0</v>
      </c>
      <c r="S73" s="16" t="e">
        <f>VLOOKUP(B73,#REF!,14,FALSE)</f>
        <v>#REF!</v>
      </c>
      <c r="T73" s="16" t="e">
        <f t="shared" si="47"/>
        <v>#DIV/0!</v>
      </c>
    </row>
    <row r="74" spans="1:20" x14ac:dyDescent="0.25">
      <c r="A74" s="22">
        <v>71</v>
      </c>
      <c r="B74" s="4" t="s">
        <v>143</v>
      </c>
      <c r="C74" s="25"/>
      <c r="D74" s="25"/>
      <c r="E74" s="25"/>
      <c r="F74" s="25"/>
      <c r="G74" s="25"/>
      <c r="H74" s="23">
        <v>1.2050000000000001</v>
      </c>
      <c r="J74" s="141"/>
      <c r="K74" s="25">
        <f t="shared" si="48"/>
        <v>0</v>
      </c>
      <c r="L74" s="25">
        <f t="shared" si="25"/>
        <v>0</v>
      </c>
      <c r="M74" s="25">
        <v>0</v>
      </c>
      <c r="N74" s="25">
        <f t="shared" si="30"/>
        <v>0</v>
      </c>
      <c r="O74" s="25">
        <v>0</v>
      </c>
      <c r="P74" s="25">
        <f t="shared" si="31"/>
        <v>0</v>
      </c>
      <c r="Q74" s="25">
        <f t="shared" si="32"/>
        <v>0</v>
      </c>
      <c r="R74" s="101">
        <f t="shared" si="49"/>
        <v>0</v>
      </c>
      <c r="S74" s="16" t="e">
        <f>VLOOKUP(B74,#REF!,14,FALSE)</f>
        <v>#REF!</v>
      </c>
      <c r="T74" s="16" t="e">
        <f t="shared" si="47"/>
        <v>#DIV/0!</v>
      </c>
    </row>
    <row r="75" spans="1:20" x14ac:dyDescent="0.25">
      <c r="A75" s="22">
        <v>72</v>
      </c>
      <c r="B75" s="4" t="s">
        <v>149</v>
      </c>
      <c r="C75" s="25"/>
      <c r="D75" s="25"/>
      <c r="E75" s="25"/>
      <c r="F75" s="25"/>
      <c r="G75" s="25"/>
      <c r="H75" s="23">
        <v>1.97</v>
      </c>
      <c r="J75" s="141"/>
      <c r="K75" s="25">
        <f t="shared" si="48"/>
        <v>0</v>
      </c>
      <c r="L75" s="25">
        <f t="shared" si="25"/>
        <v>0</v>
      </c>
      <c r="M75" s="25">
        <v>0</v>
      </c>
      <c r="N75" s="25">
        <f t="shared" si="30"/>
        <v>0</v>
      </c>
      <c r="O75" s="25">
        <v>0</v>
      </c>
      <c r="P75" s="25">
        <f t="shared" si="31"/>
        <v>0</v>
      </c>
      <c r="Q75" s="25">
        <f t="shared" si="32"/>
        <v>0</v>
      </c>
      <c r="R75" s="101">
        <f t="shared" si="49"/>
        <v>0</v>
      </c>
      <c r="S75" s="16" t="e">
        <f>VLOOKUP(B75,#REF!,14,FALSE)</f>
        <v>#REF!</v>
      </c>
      <c r="T75" s="16" t="e">
        <f t="shared" si="47"/>
        <v>#DIV/0!</v>
      </c>
    </row>
    <row r="76" spans="1:20" x14ac:dyDescent="0.25">
      <c r="A76" s="22">
        <v>73</v>
      </c>
      <c r="B76" s="4" t="s">
        <v>157</v>
      </c>
      <c r="C76">
        <v>318.22140000000002</v>
      </c>
      <c r="D76" s="25">
        <v>829.78</v>
      </c>
      <c r="E76" s="25">
        <f>D76*0.85</f>
        <v>705.31299999999999</v>
      </c>
      <c r="F76" s="25">
        <v>2.75</v>
      </c>
      <c r="G76" s="14">
        <f t="shared" ref="G76:G79" si="50">(E76*(100-F76)%*1000*24*365)/1000000</f>
        <v>6008.6319782999999</v>
      </c>
      <c r="H76" s="23">
        <f t="shared" ref="H76:H79" si="51">C76*10/G76</f>
        <v>0.52960707387180206</v>
      </c>
      <c r="I76" s="140">
        <v>0.58199999999999996</v>
      </c>
      <c r="J76" s="141"/>
      <c r="K76" s="25">
        <f t="shared" si="48"/>
        <v>507825360</v>
      </c>
      <c r="L76" s="25">
        <f t="shared" si="25"/>
        <v>13965197.399999999</v>
      </c>
      <c r="M76" s="25">
        <v>0</v>
      </c>
      <c r="N76" s="25">
        <f t="shared" si="30"/>
        <v>0</v>
      </c>
      <c r="O76" s="25">
        <v>0</v>
      </c>
      <c r="P76" s="25">
        <f t="shared" si="31"/>
        <v>0</v>
      </c>
      <c r="Q76" s="25">
        <f t="shared" si="32"/>
        <v>0</v>
      </c>
      <c r="R76" s="101">
        <f t="shared" si="49"/>
        <v>0</v>
      </c>
      <c r="S76" s="16" t="e">
        <f>VLOOKUP(B76,#REF!,14,FALSE)</f>
        <v>#REF!</v>
      </c>
      <c r="T76" s="16">
        <f t="shared" si="47"/>
        <v>3835009.2795680785</v>
      </c>
    </row>
    <row r="77" spans="1:20" x14ac:dyDescent="0.25">
      <c r="A77" s="22">
        <v>74</v>
      </c>
      <c r="B77" s="4" t="s">
        <v>158</v>
      </c>
      <c r="C77" s="197">
        <f>C76</f>
        <v>318.22140000000002</v>
      </c>
      <c r="D77" s="25">
        <v>829.78</v>
      </c>
      <c r="E77" s="25">
        <f t="shared" ref="E77:E79" si="52">D77*0.85</f>
        <v>705.31299999999999</v>
      </c>
      <c r="F77" s="25">
        <v>2.75</v>
      </c>
      <c r="G77" s="14">
        <f t="shared" si="50"/>
        <v>6008.6319782999999</v>
      </c>
      <c r="H77" s="23">
        <f t="shared" si="51"/>
        <v>0.52960707387180206</v>
      </c>
      <c r="J77" s="141"/>
      <c r="K77" s="25">
        <f t="shared" si="48"/>
        <v>507825360</v>
      </c>
      <c r="L77" s="25">
        <f t="shared" si="25"/>
        <v>13965197.399999999</v>
      </c>
      <c r="M77" s="25">
        <v>0</v>
      </c>
      <c r="N77" s="25">
        <f t="shared" si="30"/>
        <v>0</v>
      </c>
      <c r="O77" s="25">
        <v>0</v>
      </c>
      <c r="P77" s="25">
        <f t="shared" si="31"/>
        <v>0</v>
      </c>
      <c r="Q77" s="25">
        <f t="shared" si="32"/>
        <v>0</v>
      </c>
      <c r="R77" s="101">
        <f t="shared" si="49"/>
        <v>0</v>
      </c>
      <c r="S77" s="16" t="e">
        <f>VLOOKUP(B77,#REF!,14,FALSE)</f>
        <v>#REF!</v>
      </c>
      <c r="T77" s="16">
        <f t="shared" si="47"/>
        <v>3835009.2795680785</v>
      </c>
    </row>
    <row r="78" spans="1:20" x14ac:dyDescent="0.25">
      <c r="A78" s="22">
        <v>75</v>
      </c>
      <c r="B78" s="4" t="s">
        <v>159</v>
      </c>
      <c r="C78" s="197">
        <f>C77</f>
        <v>318.22140000000002</v>
      </c>
      <c r="D78" s="25">
        <v>829.78</v>
      </c>
      <c r="E78" s="25">
        <f t="shared" si="52"/>
        <v>705.31299999999999</v>
      </c>
      <c r="F78" s="25">
        <v>2.75</v>
      </c>
      <c r="G78" s="14">
        <f t="shared" si="50"/>
        <v>6008.6319782999999</v>
      </c>
      <c r="H78" s="23">
        <f t="shared" si="51"/>
        <v>0.52960707387180206</v>
      </c>
      <c r="J78" s="141"/>
      <c r="K78" s="25">
        <f t="shared" si="48"/>
        <v>507825360</v>
      </c>
      <c r="L78" s="25">
        <f t="shared" si="25"/>
        <v>13965197.399999999</v>
      </c>
      <c r="M78" s="25">
        <v>0</v>
      </c>
      <c r="N78" s="25">
        <f t="shared" si="30"/>
        <v>0</v>
      </c>
      <c r="O78" s="25">
        <v>0</v>
      </c>
      <c r="P78" s="25">
        <f t="shared" si="31"/>
        <v>0</v>
      </c>
      <c r="Q78" s="25">
        <f t="shared" si="32"/>
        <v>0</v>
      </c>
      <c r="R78" s="101">
        <f t="shared" si="49"/>
        <v>0</v>
      </c>
      <c r="S78" s="16" t="e">
        <f>VLOOKUP(B78,#REF!,14,FALSE)</f>
        <v>#REF!</v>
      </c>
      <c r="T78" s="16">
        <f t="shared" si="47"/>
        <v>3835009.2795680785</v>
      </c>
    </row>
    <row r="79" spans="1:20" x14ac:dyDescent="0.25">
      <c r="A79" s="22">
        <v>76</v>
      </c>
      <c r="B79" s="4" t="s">
        <v>177</v>
      </c>
      <c r="C79" s="197">
        <f>C78</f>
        <v>318.22140000000002</v>
      </c>
      <c r="D79" s="25">
        <v>829.78</v>
      </c>
      <c r="E79" s="25">
        <f t="shared" si="52"/>
        <v>705.31299999999999</v>
      </c>
      <c r="F79" s="25">
        <v>2.75</v>
      </c>
      <c r="G79" s="14">
        <f t="shared" si="50"/>
        <v>6008.6319782999999</v>
      </c>
      <c r="H79" s="23">
        <f t="shared" si="51"/>
        <v>0.52960707387180206</v>
      </c>
      <c r="J79" s="141"/>
      <c r="K79" s="25">
        <f t="shared" si="48"/>
        <v>507825360</v>
      </c>
      <c r="L79" s="25">
        <f t="shared" si="25"/>
        <v>13965197.399999999</v>
      </c>
      <c r="M79" s="25">
        <v>0</v>
      </c>
      <c r="N79" s="25">
        <f t="shared" si="30"/>
        <v>0</v>
      </c>
      <c r="O79" s="25">
        <v>0</v>
      </c>
      <c r="P79" s="25">
        <f t="shared" si="31"/>
        <v>0</v>
      </c>
      <c r="Q79" s="25">
        <f t="shared" si="32"/>
        <v>0</v>
      </c>
      <c r="R79" s="101">
        <f t="shared" si="49"/>
        <v>0</v>
      </c>
      <c r="S79" s="16" t="e">
        <f>VLOOKUP(B79,#REF!,14,FALSE)</f>
        <v>#REF!</v>
      </c>
      <c r="T79" s="16">
        <f t="shared" si="47"/>
        <v>3835009.2795680785</v>
      </c>
    </row>
    <row r="80" spans="1:20" x14ac:dyDescent="0.25">
      <c r="A80" s="22">
        <v>77</v>
      </c>
      <c r="B80" s="4" t="s">
        <v>142</v>
      </c>
      <c r="C80" s="25"/>
      <c r="D80" s="25"/>
      <c r="E80" s="25"/>
      <c r="F80" s="25"/>
      <c r="G80" s="25"/>
      <c r="H80" s="23">
        <v>1.28</v>
      </c>
      <c r="J80" s="141"/>
      <c r="K80" s="25">
        <f t="shared" si="48"/>
        <v>0</v>
      </c>
      <c r="L80" s="25">
        <f t="shared" si="25"/>
        <v>0</v>
      </c>
      <c r="M80" s="25">
        <v>0</v>
      </c>
      <c r="N80" s="25">
        <f t="shared" si="30"/>
        <v>0</v>
      </c>
      <c r="O80" s="25">
        <v>0</v>
      </c>
      <c r="P80" s="25">
        <f t="shared" si="31"/>
        <v>0</v>
      </c>
      <c r="Q80" s="25">
        <f t="shared" si="32"/>
        <v>0</v>
      </c>
      <c r="R80" s="101">
        <f t="shared" si="49"/>
        <v>0</v>
      </c>
      <c r="S80" s="16" t="e">
        <f>VLOOKUP(B80,#REF!,14,FALSE)</f>
        <v>#REF!</v>
      </c>
      <c r="T80" s="16" t="e">
        <f t="shared" si="47"/>
        <v>#DIV/0!</v>
      </c>
    </row>
    <row r="81" spans="1:20" x14ac:dyDescent="0.25">
      <c r="A81" s="22">
        <v>78</v>
      </c>
      <c r="B81" s="4" t="s">
        <v>140</v>
      </c>
      <c r="C81" s="25">
        <v>772.0335</v>
      </c>
      <c r="D81" s="25"/>
      <c r="E81" s="25"/>
      <c r="F81" s="25"/>
      <c r="G81" s="25"/>
      <c r="H81" s="23">
        <v>2.3279999999999998</v>
      </c>
      <c r="J81" s="141"/>
      <c r="K81" s="25">
        <f t="shared" si="48"/>
        <v>0</v>
      </c>
      <c r="L81" s="25">
        <f t="shared" si="25"/>
        <v>0</v>
      </c>
      <c r="M81" s="25">
        <v>0</v>
      </c>
      <c r="N81" s="25">
        <f t="shared" si="30"/>
        <v>0</v>
      </c>
      <c r="O81" s="25">
        <v>0</v>
      </c>
      <c r="P81" s="25">
        <f t="shared" si="31"/>
        <v>0</v>
      </c>
      <c r="Q81" s="25">
        <f t="shared" si="32"/>
        <v>0</v>
      </c>
      <c r="R81" s="101">
        <f t="shared" si="49"/>
        <v>0</v>
      </c>
      <c r="S81" s="16" t="e">
        <f>VLOOKUP(B81,#REF!,14,FALSE)</f>
        <v>#REF!</v>
      </c>
      <c r="T81" s="16" t="e">
        <f t="shared" si="47"/>
        <v>#DIV/0!</v>
      </c>
    </row>
    <row r="82" spans="1:20" x14ac:dyDescent="0.25">
      <c r="A82" s="22">
        <v>79</v>
      </c>
      <c r="B82" s="4" t="s">
        <v>146</v>
      </c>
      <c r="C82" s="25">
        <v>1646.7488000000001</v>
      </c>
      <c r="D82" s="25">
        <v>1500</v>
      </c>
      <c r="E82" s="25"/>
      <c r="F82" s="25"/>
      <c r="G82" s="14">
        <f>(E82*(100-F82)%*1000*24*365)/1000000</f>
        <v>0</v>
      </c>
      <c r="H82" s="154">
        <v>1.56</v>
      </c>
      <c r="J82" s="141"/>
      <c r="K82" s="25">
        <f t="shared" si="48"/>
        <v>0</v>
      </c>
      <c r="L82" s="25">
        <f t="shared" si="25"/>
        <v>0</v>
      </c>
      <c r="M82" s="25">
        <v>0</v>
      </c>
      <c r="N82" s="25">
        <f t="shared" si="30"/>
        <v>0</v>
      </c>
      <c r="O82" s="25">
        <v>0</v>
      </c>
      <c r="P82" s="25">
        <f t="shared" si="31"/>
        <v>0</v>
      </c>
      <c r="Q82" s="25">
        <f t="shared" si="32"/>
        <v>0</v>
      </c>
      <c r="R82" s="101">
        <f t="shared" si="49"/>
        <v>0</v>
      </c>
      <c r="S82" s="16" t="e">
        <f>VLOOKUP(B82,#REF!,14,FALSE)</f>
        <v>#REF!</v>
      </c>
      <c r="T82" s="16">
        <f t="shared" si="47"/>
        <v>10978325.333333334</v>
      </c>
    </row>
    <row r="83" spans="1:20" x14ac:dyDescent="0.25">
      <c r="A83" s="22">
        <v>80</v>
      </c>
      <c r="B83" s="4" t="s">
        <v>164</v>
      </c>
      <c r="C83" s="25"/>
      <c r="D83" s="25">
        <v>330</v>
      </c>
      <c r="E83" s="25"/>
      <c r="F83" s="25"/>
      <c r="G83" s="25"/>
      <c r="H83" s="154">
        <v>2.3879999999999999</v>
      </c>
      <c r="J83" s="141"/>
      <c r="K83" s="25">
        <f t="shared" si="48"/>
        <v>0</v>
      </c>
      <c r="L83" s="25">
        <f t="shared" si="25"/>
        <v>0</v>
      </c>
      <c r="M83" s="25">
        <v>0</v>
      </c>
      <c r="N83" s="25">
        <f t="shared" si="30"/>
        <v>0</v>
      </c>
      <c r="O83" s="25">
        <v>0</v>
      </c>
      <c r="P83" s="25">
        <f t="shared" si="31"/>
        <v>0</v>
      </c>
      <c r="Q83" s="25">
        <f t="shared" si="32"/>
        <v>0</v>
      </c>
      <c r="R83" s="101">
        <f t="shared" si="49"/>
        <v>0</v>
      </c>
      <c r="S83" s="16" t="e">
        <f>VLOOKUP(B83,#REF!,14,FALSE)</f>
        <v>#REF!</v>
      </c>
      <c r="T83" s="16">
        <f t="shared" si="47"/>
        <v>0</v>
      </c>
    </row>
    <row r="84" spans="1:20" x14ac:dyDescent="0.25">
      <c r="A84" s="22">
        <v>81</v>
      </c>
      <c r="B84" s="4" t="s">
        <v>148</v>
      </c>
      <c r="C84" s="198">
        <v>1171.0635</v>
      </c>
      <c r="D84" s="25">
        <v>800</v>
      </c>
      <c r="E84" s="25"/>
      <c r="F84" s="25"/>
      <c r="G84" s="25"/>
      <c r="H84" s="23">
        <v>2.2250000000000001</v>
      </c>
      <c r="J84" s="141"/>
      <c r="K84" s="25">
        <f t="shared" si="48"/>
        <v>0</v>
      </c>
      <c r="L84" s="25">
        <f t="shared" si="25"/>
        <v>0</v>
      </c>
      <c r="M84" s="25">
        <v>0</v>
      </c>
      <c r="N84" s="25">
        <f t="shared" si="30"/>
        <v>0</v>
      </c>
      <c r="O84" s="25">
        <v>0</v>
      </c>
      <c r="P84" s="25">
        <f t="shared" si="31"/>
        <v>0</v>
      </c>
      <c r="Q84" s="25">
        <f t="shared" si="32"/>
        <v>0</v>
      </c>
      <c r="R84" s="101">
        <f t="shared" si="49"/>
        <v>0</v>
      </c>
      <c r="S84" s="16" t="e">
        <f>VLOOKUP(B84,#REF!,14,FALSE)</f>
        <v>#REF!</v>
      </c>
      <c r="T84" s="16">
        <f t="shared" si="47"/>
        <v>14638293.75</v>
      </c>
    </row>
    <row r="85" spans="1:20" x14ac:dyDescent="0.25">
      <c r="A85" s="22">
        <v>82</v>
      </c>
      <c r="B85" s="4" t="s">
        <v>147</v>
      </c>
      <c r="C85" s="25">
        <v>552.5607</v>
      </c>
      <c r="D85" s="25"/>
      <c r="E85" s="25"/>
      <c r="F85" s="25"/>
      <c r="G85" s="25"/>
      <c r="H85" s="191">
        <v>2.746</v>
      </c>
      <c r="J85" s="141"/>
      <c r="K85" s="25">
        <f t="shared" si="48"/>
        <v>0</v>
      </c>
      <c r="L85" s="25">
        <f t="shared" si="25"/>
        <v>0</v>
      </c>
      <c r="M85" s="25">
        <v>0</v>
      </c>
      <c r="N85" s="25">
        <f t="shared" si="30"/>
        <v>0</v>
      </c>
      <c r="O85" s="25">
        <v>0</v>
      </c>
      <c r="P85" s="25">
        <f t="shared" si="31"/>
        <v>0</v>
      </c>
      <c r="Q85" s="25">
        <f t="shared" si="32"/>
        <v>0</v>
      </c>
      <c r="R85" s="101">
        <f t="shared" si="49"/>
        <v>0</v>
      </c>
      <c r="S85" s="16" t="e">
        <f>VLOOKUP(B85,#REF!,14,FALSE)</f>
        <v>#REF!</v>
      </c>
      <c r="T85" s="16" t="e">
        <f t="shared" si="47"/>
        <v>#DIV/0!</v>
      </c>
    </row>
    <row r="86" spans="1:20" x14ac:dyDescent="0.25">
      <c r="A86" s="22">
        <v>83</v>
      </c>
      <c r="B86" s="4" t="s">
        <v>168</v>
      </c>
      <c r="C86" s="25">
        <v>2072.7620999999999</v>
      </c>
      <c r="D86" s="25">
        <v>1320</v>
      </c>
      <c r="E86" s="14">
        <f t="shared" ref="E86" si="53">D86*0.85</f>
        <v>1122</v>
      </c>
      <c r="F86" s="14">
        <v>6.25</v>
      </c>
      <c r="G86" s="14">
        <f t="shared" ref="G86" si="54">(E86*(100-F86)%*1000*24*365)/1000000</f>
        <v>9214.4249999999993</v>
      </c>
      <c r="H86" s="23">
        <f t="shared" ref="H86" si="55">C86*10/G86</f>
        <v>2.2494752521182821</v>
      </c>
      <c r="J86" s="141"/>
      <c r="K86" s="25">
        <f t="shared" si="48"/>
        <v>807840000</v>
      </c>
      <c r="L86" s="25">
        <f t="shared" si="25"/>
        <v>50490000</v>
      </c>
      <c r="M86" s="25">
        <v>0</v>
      </c>
      <c r="N86" s="25">
        <f t="shared" si="30"/>
        <v>0</v>
      </c>
      <c r="O86" s="25">
        <v>0</v>
      </c>
      <c r="P86" s="25">
        <f t="shared" si="31"/>
        <v>0</v>
      </c>
      <c r="Q86" s="25">
        <f t="shared" si="32"/>
        <v>0</v>
      </c>
      <c r="R86" s="101">
        <f t="shared" si="49"/>
        <v>0</v>
      </c>
      <c r="S86" s="16" t="e">
        <f>VLOOKUP(B86,#REF!,14,FALSE)</f>
        <v>#REF!</v>
      </c>
      <c r="T86" s="16">
        <f t="shared" si="47"/>
        <v>15702743.181818182</v>
      </c>
    </row>
    <row r="87" spans="1:20" x14ac:dyDescent="0.25">
      <c r="A87" s="22">
        <v>84</v>
      </c>
      <c r="B87" s="4" t="s">
        <v>136</v>
      </c>
      <c r="C87" s="25"/>
      <c r="D87" s="25"/>
      <c r="E87" s="25"/>
      <c r="F87" s="25"/>
      <c r="G87" s="25"/>
      <c r="H87" s="23">
        <v>0</v>
      </c>
      <c r="J87" s="141"/>
      <c r="K87" s="25">
        <f t="shared" ref="K87:K104" si="56">E87*24*30*1000</f>
        <v>0</v>
      </c>
      <c r="L87" s="25">
        <f t="shared" ref="L87:L104" si="57">E87*F87%*24*30*1000</f>
        <v>0</v>
      </c>
      <c r="M87" s="25">
        <v>0</v>
      </c>
      <c r="N87" s="25">
        <f t="shared" si="30"/>
        <v>0</v>
      </c>
      <c r="O87" s="25">
        <v>0</v>
      </c>
      <c r="P87" s="25">
        <f t="shared" si="31"/>
        <v>0</v>
      </c>
      <c r="Q87" s="25">
        <f t="shared" si="32"/>
        <v>0</v>
      </c>
      <c r="R87" s="101">
        <f t="shared" si="49"/>
        <v>0</v>
      </c>
      <c r="S87" s="16" t="e">
        <f>VLOOKUP(B87,#REF!,14,FALSE)</f>
        <v>#REF!</v>
      </c>
      <c r="T87" s="16" t="e">
        <f t="shared" si="47"/>
        <v>#DIV/0!</v>
      </c>
    </row>
    <row r="88" spans="1:20" x14ac:dyDescent="0.25">
      <c r="A88" s="22">
        <v>85</v>
      </c>
      <c r="B88" s="4" t="s">
        <v>138</v>
      </c>
      <c r="C88" s="25">
        <v>1382.8635999999999</v>
      </c>
      <c r="D88" s="25"/>
      <c r="E88" s="25"/>
      <c r="F88" s="25"/>
      <c r="G88" s="25"/>
      <c r="H88" s="23">
        <v>1.2030000000000001</v>
      </c>
      <c r="J88" s="141"/>
      <c r="K88" s="25">
        <f t="shared" si="56"/>
        <v>0</v>
      </c>
      <c r="L88" s="25">
        <f t="shared" si="57"/>
        <v>0</v>
      </c>
      <c r="M88" s="25">
        <v>0</v>
      </c>
      <c r="N88" s="25">
        <f t="shared" si="30"/>
        <v>0</v>
      </c>
      <c r="O88" s="25">
        <v>0</v>
      </c>
      <c r="P88" s="25">
        <f t="shared" si="31"/>
        <v>0</v>
      </c>
      <c r="Q88" s="25">
        <f t="shared" si="32"/>
        <v>0</v>
      </c>
      <c r="R88" s="101">
        <f t="shared" si="49"/>
        <v>0</v>
      </c>
      <c r="S88" s="16" t="e">
        <f>VLOOKUP(B88,#REF!,14,FALSE)</f>
        <v>#REF!</v>
      </c>
      <c r="T88" s="16" t="e">
        <f t="shared" si="47"/>
        <v>#DIV/0!</v>
      </c>
    </row>
    <row r="89" spans="1:20" x14ac:dyDescent="0.25">
      <c r="A89" s="22">
        <v>86</v>
      </c>
      <c r="B89" s="4" t="s">
        <v>150</v>
      </c>
      <c r="C89">
        <v>836.59130000000005</v>
      </c>
      <c r="D89" s="25">
        <v>1820</v>
      </c>
      <c r="E89" s="14">
        <f t="shared" ref="E89" si="58">D89*0.85</f>
        <v>1547</v>
      </c>
      <c r="F89" s="25">
        <v>5.25</v>
      </c>
      <c r="G89" s="14">
        <f t="shared" ref="G89" si="59">(E89*(100-F89)%*1000*24*365)/1000000</f>
        <v>12840.2547</v>
      </c>
      <c r="H89" s="23">
        <f t="shared" ref="H89" si="60">C89*10/G89</f>
        <v>0.65153793249911163</v>
      </c>
      <c r="J89" s="141"/>
      <c r="K89" s="25">
        <f t="shared" si="56"/>
        <v>1113840000</v>
      </c>
      <c r="L89" s="25">
        <f t="shared" si="57"/>
        <v>58476600</v>
      </c>
      <c r="M89" s="25">
        <v>0</v>
      </c>
      <c r="N89" s="25">
        <f t="shared" si="30"/>
        <v>0</v>
      </c>
      <c r="O89" s="25">
        <v>0</v>
      </c>
      <c r="P89" s="25">
        <f t="shared" si="31"/>
        <v>0</v>
      </c>
      <c r="Q89" s="25">
        <f t="shared" si="32"/>
        <v>0</v>
      </c>
      <c r="R89" s="101">
        <f t="shared" si="49"/>
        <v>0</v>
      </c>
      <c r="S89" s="16" t="e">
        <f>VLOOKUP(B89,#REF!,14,FALSE)</f>
        <v>#REF!</v>
      </c>
      <c r="T89" s="16">
        <f t="shared" si="47"/>
        <v>4596655.4945054948</v>
      </c>
    </row>
    <row r="90" spans="1:20" x14ac:dyDescent="0.25">
      <c r="A90" s="22">
        <v>87</v>
      </c>
      <c r="B90" s="4" t="s">
        <v>141</v>
      </c>
      <c r="C90" s="25"/>
      <c r="D90" s="25"/>
      <c r="E90" s="25"/>
      <c r="F90" s="25"/>
      <c r="G90" s="25"/>
      <c r="H90" s="154">
        <v>1.5389999999999999</v>
      </c>
      <c r="J90" s="141"/>
      <c r="K90" s="25">
        <f t="shared" si="56"/>
        <v>0</v>
      </c>
      <c r="L90" s="25">
        <f t="shared" si="57"/>
        <v>0</v>
      </c>
      <c r="M90" s="25">
        <v>0</v>
      </c>
      <c r="N90" s="25">
        <f t="shared" si="30"/>
        <v>0</v>
      </c>
      <c r="O90" s="25">
        <v>0</v>
      </c>
      <c r="P90" s="25">
        <f t="shared" si="31"/>
        <v>0</v>
      </c>
      <c r="Q90" s="25">
        <f t="shared" si="32"/>
        <v>0</v>
      </c>
      <c r="R90" s="101">
        <f t="shared" si="49"/>
        <v>0</v>
      </c>
      <c r="S90" s="16" t="e">
        <f>VLOOKUP(B90,#REF!,14,FALSE)</f>
        <v>#REF!</v>
      </c>
      <c r="T90" s="16" t="e">
        <f t="shared" si="47"/>
        <v>#DIV/0!</v>
      </c>
    </row>
    <row r="91" spans="1:20" x14ac:dyDescent="0.25">
      <c r="A91" s="22">
        <v>88</v>
      </c>
      <c r="B91" s="4" t="s">
        <v>137</v>
      </c>
      <c r="C91" s="197">
        <v>673.33199999999999</v>
      </c>
      <c r="D91" s="25"/>
      <c r="E91" s="25"/>
      <c r="F91" s="25"/>
      <c r="G91" s="25"/>
      <c r="H91" s="23">
        <v>2.081</v>
      </c>
      <c r="J91" s="141"/>
      <c r="K91" s="25">
        <f t="shared" si="56"/>
        <v>0</v>
      </c>
      <c r="L91" s="25">
        <f t="shared" si="57"/>
        <v>0</v>
      </c>
      <c r="M91" s="25">
        <v>0</v>
      </c>
      <c r="N91" s="25">
        <f t="shared" si="30"/>
        <v>0</v>
      </c>
      <c r="O91" s="25">
        <v>0</v>
      </c>
      <c r="P91" s="25">
        <f t="shared" si="31"/>
        <v>0</v>
      </c>
      <c r="Q91" s="25">
        <f t="shared" si="32"/>
        <v>0</v>
      </c>
      <c r="R91" s="101">
        <f t="shared" si="49"/>
        <v>0</v>
      </c>
      <c r="S91" s="16" t="e">
        <f>VLOOKUP(B91,#REF!,14,FALSE)</f>
        <v>#REF!</v>
      </c>
      <c r="T91" s="16" t="e">
        <f t="shared" si="47"/>
        <v>#DIV/0!</v>
      </c>
    </row>
    <row r="92" spans="1:20" x14ac:dyDescent="0.25">
      <c r="A92" s="22">
        <v>89</v>
      </c>
      <c r="B92" s="4" t="s">
        <v>152</v>
      </c>
      <c r="C92" s="25"/>
      <c r="D92" s="25"/>
      <c r="E92" s="25"/>
      <c r="F92" s="25"/>
      <c r="G92" s="25"/>
      <c r="H92" s="23">
        <v>0</v>
      </c>
      <c r="J92" s="141"/>
      <c r="K92" s="25">
        <f t="shared" si="56"/>
        <v>0</v>
      </c>
      <c r="L92" s="25">
        <f t="shared" si="57"/>
        <v>0</v>
      </c>
      <c r="M92" s="25">
        <v>0</v>
      </c>
      <c r="N92" s="25">
        <f t="shared" si="30"/>
        <v>0</v>
      </c>
      <c r="O92" s="25">
        <v>0</v>
      </c>
      <c r="P92" s="25">
        <f t="shared" si="31"/>
        <v>0</v>
      </c>
      <c r="Q92" s="25">
        <f t="shared" si="32"/>
        <v>0</v>
      </c>
      <c r="R92" s="101">
        <f t="shared" si="49"/>
        <v>0</v>
      </c>
      <c r="S92" s="16" t="e">
        <f>VLOOKUP(B92,#REF!,14,FALSE)</f>
        <v>#REF!</v>
      </c>
      <c r="T92" s="16" t="e">
        <f t="shared" si="47"/>
        <v>#DIV/0!</v>
      </c>
    </row>
    <row r="93" spans="1:20" x14ac:dyDescent="0.25">
      <c r="A93" s="22">
        <v>90</v>
      </c>
      <c r="B93" s="4" t="s">
        <v>129</v>
      </c>
      <c r="C93">
        <v>568.83799999999997</v>
      </c>
      <c r="D93" s="25">
        <v>1000</v>
      </c>
      <c r="E93" s="14">
        <f t="shared" ref="E93:E97" si="61">D93*0.85</f>
        <v>850</v>
      </c>
      <c r="F93" s="25">
        <v>8</v>
      </c>
      <c r="G93" s="14">
        <f t="shared" ref="G93:G95" si="62">(E93*(100-F93)%*1000*24*365)/1000000</f>
        <v>6850.32</v>
      </c>
      <c r="H93" s="23">
        <f t="shared" ref="H93:H95" si="63">C93*10/G93</f>
        <v>0.83038164640483936</v>
      </c>
      <c r="J93" s="141"/>
      <c r="K93" s="25">
        <f t="shared" si="56"/>
        <v>612000000</v>
      </c>
      <c r="L93" s="25">
        <f t="shared" si="57"/>
        <v>48960000</v>
      </c>
      <c r="M93" s="25">
        <v>0</v>
      </c>
      <c r="N93" s="25">
        <f t="shared" si="30"/>
        <v>0</v>
      </c>
      <c r="O93" s="25">
        <v>0</v>
      </c>
      <c r="P93" s="25">
        <f t="shared" si="31"/>
        <v>0</v>
      </c>
      <c r="Q93" s="25">
        <f t="shared" si="32"/>
        <v>0</v>
      </c>
      <c r="R93" s="101">
        <f t="shared" si="49"/>
        <v>0</v>
      </c>
      <c r="S93" s="16" t="e">
        <f>VLOOKUP(B93,#REF!,14,FALSE)</f>
        <v>#REF!</v>
      </c>
      <c r="T93" s="16">
        <f t="shared" si="47"/>
        <v>5688380</v>
      </c>
    </row>
    <row r="94" spans="1:20" x14ac:dyDescent="0.25">
      <c r="A94" s="22">
        <v>91</v>
      </c>
      <c r="B94" s="4" t="s">
        <v>130</v>
      </c>
      <c r="C94">
        <v>546.93550000000005</v>
      </c>
      <c r="D94" s="25">
        <v>1000</v>
      </c>
      <c r="E94" s="14">
        <f t="shared" si="61"/>
        <v>850</v>
      </c>
      <c r="F94" s="25">
        <v>5.75</v>
      </c>
      <c r="G94" s="14">
        <f t="shared" si="62"/>
        <v>7017.8549999999996</v>
      </c>
      <c r="H94" s="23">
        <f t="shared" si="63"/>
        <v>0.77934853313441221</v>
      </c>
      <c r="J94" s="141"/>
      <c r="K94" s="25">
        <f t="shared" si="56"/>
        <v>612000000</v>
      </c>
      <c r="L94" s="25">
        <f t="shared" si="57"/>
        <v>35190000</v>
      </c>
      <c r="M94" s="25">
        <v>0</v>
      </c>
      <c r="N94" s="25">
        <f t="shared" si="30"/>
        <v>0</v>
      </c>
      <c r="O94" s="25">
        <v>0</v>
      </c>
      <c r="P94" s="25">
        <f t="shared" si="31"/>
        <v>0</v>
      </c>
      <c r="Q94" s="25">
        <f t="shared" si="32"/>
        <v>0</v>
      </c>
      <c r="R94" s="101">
        <f t="shared" si="49"/>
        <v>0</v>
      </c>
      <c r="S94" s="16" t="e">
        <f>VLOOKUP(B94,#REF!,14,FALSE)</f>
        <v>#REF!</v>
      </c>
      <c r="T94" s="16">
        <f t="shared" si="47"/>
        <v>5469355</v>
      </c>
    </row>
    <row r="95" spans="1:20" x14ac:dyDescent="0.25">
      <c r="A95" s="22">
        <v>92</v>
      </c>
      <c r="B95" s="4" t="s">
        <v>131</v>
      </c>
      <c r="C95" s="206">
        <v>1031.2117000000001</v>
      </c>
      <c r="D95" s="25">
        <v>1000</v>
      </c>
      <c r="E95" s="14">
        <f t="shared" si="61"/>
        <v>850</v>
      </c>
      <c r="F95" s="25">
        <v>5.75</v>
      </c>
      <c r="G95" s="14">
        <f t="shared" si="62"/>
        <v>7017.8549999999996</v>
      </c>
      <c r="H95" s="23">
        <f t="shared" si="63"/>
        <v>1.4694115224666227</v>
      </c>
      <c r="J95" s="141"/>
      <c r="K95" s="25">
        <f t="shared" si="56"/>
        <v>612000000</v>
      </c>
      <c r="L95" s="25">
        <f t="shared" si="57"/>
        <v>35190000</v>
      </c>
      <c r="M95" s="25">
        <v>0</v>
      </c>
      <c r="N95" s="25">
        <f t="shared" si="30"/>
        <v>0</v>
      </c>
      <c r="O95" s="25">
        <v>0</v>
      </c>
      <c r="P95" s="25">
        <f t="shared" si="31"/>
        <v>0</v>
      </c>
      <c r="Q95" s="25">
        <f t="shared" si="32"/>
        <v>0</v>
      </c>
      <c r="R95" s="101">
        <f t="shared" si="49"/>
        <v>0</v>
      </c>
      <c r="S95" s="16" t="e">
        <f>VLOOKUP(B95,#REF!,14,FALSE)</f>
        <v>#REF!</v>
      </c>
      <c r="T95" s="16">
        <f t="shared" si="47"/>
        <v>10312117</v>
      </c>
    </row>
    <row r="96" spans="1:20" x14ac:dyDescent="0.25">
      <c r="A96" s="22">
        <v>93</v>
      </c>
      <c r="B96" s="4" t="s">
        <v>144</v>
      </c>
      <c r="C96" s="25"/>
      <c r="D96" s="25"/>
      <c r="E96" s="25"/>
      <c r="F96" s="25"/>
      <c r="G96" s="14">
        <f>(E96*(100-F96)%*1000*24*365)/1000000</f>
        <v>0</v>
      </c>
      <c r="H96" s="154">
        <v>2.206</v>
      </c>
      <c r="J96" s="141"/>
      <c r="K96" s="25">
        <f t="shared" si="56"/>
        <v>0</v>
      </c>
      <c r="L96" s="25">
        <f t="shared" si="57"/>
        <v>0</v>
      </c>
      <c r="M96" s="25">
        <v>0</v>
      </c>
      <c r="N96" s="25">
        <f t="shared" ref="N96:N104" si="64">L96*M96</f>
        <v>0</v>
      </c>
      <c r="O96" s="25">
        <v>0</v>
      </c>
      <c r="P96" s="25">
        <f t="shared" ref="P96:P104" si="65">O96*L96</f>
        <v>0</v>
      </c>
      <c r="Q96" s="25">
        <f t="shared" ref="Q96:Q104" si="66">P96+N96</f>
        <v>0</v>
      </c>
      <c r="R96" s="101">
        <f t="shared" si="49"/>
        <v>0</v>
      </c>
      <c r="S96" s="16" t="e">
        <f>VLOOKUP(B96,#REF!,14,FALSE)</f>
        <v>#REF!</v>
      </c>
      <c r="T96" s="16" t="e">
        <f t="shared" si="47"/>
        <v>#DIV/0!</v>
      </c>
    </row>
    <row r="97" spans="1:20" x14ac:dyDescent="0.25">
      <c r="A97" s="22">
        <v>94</v>
      </c>
      <c r="B97" s="4" t="s">
        <v>132</v>
      </c>
      <c r="C97" s="206">
        <v>1059.2584999999999</v>
      </c>
      <c r="D97" s="25">
        <v>2000</v>
      </c>
      <c r="E97" s="14">
        <f t="shared" si="61"/>
        <v>1700</v>
      </c>
      <c r="F97" s="25">
        <v>6.88</v>
      </c>
      <c r="G97" s="14">
        <f>(E97*(100-F97)%*1000*24*365)/1000000</f>
        <v>13867.430399999999</v>
      </c>
      <c r="H97" s="23">
        <f>C97*10/G97</f>
        <v>0.76384627104384095</v>
      </c>
      <c r="J97" s="141"/>
      <c r="K97" s="25">
        <f t="shared" si="56"/>
        <v>1224000000</v>
      </c>
      <c r="L97" s="25">
        <f t="shared" si="57"/>
        <v>84211200</v>
      </c>
      <c r="M97" s="25">
        <v>0</v>
      </c>
      <c r="N97" s="25">
        <f t="shared" si="64"/>
        <v>0</v>
      </c>
      <c r="O97" s="25">
        <v>0</v>
      </c>
      <c r="P97" s="25">
        <f t="shared" si="65"/>
        <v>0</v>
      </c>
      <c r="Q97" s="25">
        <f t="shared" si="66"/>
        <v>0</v>
      </c>
      <c r="R97" s="101">
        <f t="shared" si="49"/>
        <v>0</v>
      </c>
      <c r="S97" s="16" t="e">
        <f>VLOOKUP(B97,#REF!,14,FALSE)</f>
        <v>#REF!</v>
      </c>
      <c r="T97" s="16">
        <f t="shared" si="47"/>
        <v>5296292.5</v>
      </c>
    </row>
    <row r="98" spans="1:20" x14ac:dyDescent="0.25">
      <c r="A98" s="22">
        <v>95</v>
      </c>
      <c r="B98" s="4" t="s">
        <v>151</v>
      </c>
      <c r="C98" s="25"/>
      <c r="D98" s="25"/>
      <c r="E98" s="25"/>
      <c r="F98" s="25"/>
      <c r="G98" s="25"/>
      <c r="H98" s="23">
        <v>0</v>
      </c>
      <c r="J98" s="141"/>
      <c r="K98" s="25">
        <f t="shared" si="56"/>
        <v>0</v>
      </c>
      <c r="L98" s="25">
        <f t="shared" si="57"/>
        <v>0</v>
      </c>
      <c r="M98" s="25">
        <v>0</v>
      </c>
      <c r="N98" s="25">
        <f t="shared" si="64"/>
        <v>0</v>
      </c>
      <c r="O98" s="25">
        <v>0</v>
      </c>
      <c r="P98" s="25">
        <f t="shared" si="65"/>
        <v>0</v>
      </c>
      <c r="Q98" s="25">
        <f t="shared" si="66"/>
        <v>0</v>
      </c>
      <c r="R98" s="101">
        <f t="shared" si="49"/>
        <v>0</v>
      </c>
      <c r="S98" s="16" t="e">
        <f>VLOOKUP(B98,#REF!,14,FALSE)</f>
        <v>#REF!</v>
      </c>
      <c r="T98" s="16" t="e">
        <f t="shared" si="47"/>
        <v>#DIV/0!</v>
      </c>
    </row>
    <row r="99" spans="1:20" x14ac:dyDescent="0.25">
      <c r="A99" s="22">
        <v>96</v>
      </c>
      <c r="B99" s="4" t="s">
        <v>139</v>
      </c>
      <c r="C99" s="25">
        <v>1028.7853</v>
      </c>
      <c r="D99" s="25"/>
      <c r="E99" s="25"/>
      <c r="F99" s="25"/>
      <c r="G99" s="25"/>
      <c r="H99" s="23">
        <v>2.1150000000000002</v>
      </c>
      <c r="J99" s="141"/>
      <c r="K99" s="25">
        <f t="shared" si="56"/>
        <v>0</v>
      </c>
      <c r="L99" s="25">
        <f t="shared" si="57"/>
        <v>0</v>
      </c>
      <c r="M99" s="25">
        <v>0</v>
      </c>
      <c r="N99" s="25">
        <f t="shared" si="64"/>
        <v>0</v>
      </c>
      <c r="O99" s="25">
        <v>0</v>
      </c>
      <c r="P99" s="25">
        <f t="shared" si="65"/>
        <v>0</v>
      </c>
      <c r="Q99" s="25">
        <f t="shared" si="66"/>
        <v>0</v>
      </c>
      <c r="R99" s="101">
        <f t="shared" si="49"/>
        <v>0</v>
      </c>
      <c r="S99" s="16" t="e">
        <f>VLOOKUP(B99,#REF!,14,FALSE)</f>
        <v>#REF!</v>
      </c>
      <c r="T99" s="16" t="e">
        <f t="shared" si="47"/>
        <v>#DIV/0!</v>
      </c>
    </row>
    <row r="100" spans="1:20" x14ac:dyDescent="0.25">
      <c r="A100" s="22">
        <v>97</v>
      </c>
      <c r="B100" s="4" t="s">
        <v>134</v>
      </c>
      <c r="C100">
        <v>297.65140000000002</v>
      </c>
      <c r="D100" s="25">
        <f>2*210</f>
        <v>420</v>
      </c>
      <c r="E100" s="14">
        <f t="shared" ref="E100:E102" si="67">D100*0.85</f>
        <v>357</v>
      </c>
      <c r="F100" s="25">
        <v>9</v>
      </c>
      <c r="G100" s="14">
        <f t="shared" ref="G100:G103" si="68">(E100*(100-F100)%*1000*24*365)/1000000</f>
        <v>2845.8611999999998</v>
      </c>
      <c r="H100" s="23">
        <f t="shared" ref="H100:H103" si="69">C100*10/G100</f>
        <v>1.0459097583536401</v>
      </c>
      <c r="J100" s="141"/>
      <c r="K100" s="25">
        <f t="shared" si="56"/>
        <v>257040000</v>
      </c>
      <c r="L100" s="25">
        <f t="shared" si="57"/>
        <v>23133600</v>
      </c>
      <c r="M100" s="25">
        <v>0</v>
      </c>
      <c r="N100" s="25">
        <f t="shared" si="64"/>
        <v>0</v>
      </c>
      <c r="O100" s="25">
        <v>0</v>
      </c>
      <c r="P100" s="25">
        <f t="shared" si="65"/>
        <v>0</v>
      </c>
      <c r="Q100" s="25">
        <f t="shared" si="66"/>
        <v>0</v>
      </c>
      <c r="R100" s="101">
        <f t="shared" si="49"/>
        <v>0</v>
      </c>
      <c r="S100" s="16" t="e">
        <f>VLOOKUP(B100,#REF!,14,FALSE)</f>
        <v>#REF!</v>
      </c>
      <c r="T100" s="16">
        <f t="shared" si="47"/>
        <v>7086938.0952380951</v>
      </c>
    </row>
    <row r="101" spans="1:20" x14ac:dyDescent="0.25">
      <c r="A101" s="22">
        <v>98</v>
      </c>
      <c r="B101" s="4" t="s">
        <v>135</v>
      </c>
      <c r="C101" s="197">
        <v>316.12709999999998</v>
      </c>
      <c r="D101" s="25">
        <f>2*210</f>
        <v>420</v>
      </c>
      <c r="E101" s="14">
        <f t="shared" si="67"/>
        <v>357</v>
      </c>
      <c r="F101" s="25">
        <v>9.8000000000000007</v>
      </c>
      <c r="G101" s="14">
        <f t="shared" si="68"/>
        <v>2820.8426399999998</v>
      </c>
      <c r="H101" s="23">
        <f t="shared" si="69"/>
        <v>1.1206832154238848</v>
      </c>
      <c r="J101" s="141"/>
      <c r="K101" s="25">
        <f t="shared" si="56"/>
        <v>257040000</v>
      </c>
      <c r="L101" s="25">
        <f t="shared" si="57"/>
        <v>25189920.000000004</v>
      </c>
      <c r="M101" s="25">
        <v>0</v>
      </c>
      <c r="N101" s="25">
        <f t="shared" si="64"/>
        <v>0</v>
      </c>
      <c r="O101" s="25">
        <v>0</v>
      </c>
      <c r="P101" s="25">
        <f t="shared" si="65"/>
        <v>0</v>
      </c>
      <c r="Q101" s="25">
        <f t="shared" si="66"/>
        <v>0</v>
      </c>
      <c r="R101" s="101">
        <f t="shared" si="49"/>
        <v>0</v>
      </c>
      <c r="S101" s="16" t="e">
        <f>VLOOKUP(B101,#REF!,14,FALSE)</f>
        <v>#REF!</v>
      </c>
      <c r="T101" s="16">
        <f t="shared" si="47"/>
        <v>7526835.7142857146</v>
      </c>
    </row>
    <row r="102" spans="1:20" x14ac:dyDescent="0.25">
      <c r="A102" s="22">
        <v>99</v>
      </c>
      <c r="B102" s="4" t="s">
        <v>133</v>
      </c>
      <c r="C102" s="197">
        <v>172.03970000000001</v>
      </c>
      <c r="D102" s="25">
        <v>210</v>
      </c>
      <c r="E102" s="14">
        <f t="shared" si="67"/>
        <v>178.5</v>
      </c>
      <c r="F102" s="25">
        <v>9</v>
      </c>
      <c r="G102" s="14">
        <f t="shared" si="68"/>
        <v>1422.9305999999999</v>
      </c>
      <c r="H102" s="23">
        <f t="shared" si="69"/>
        <v>1.2090519383025429</v>
      </c>
      <c r="J102" s="141"/>
      <c r="K102" s="25">
        <f t="shared" si="56"/>
        <v>128520000</v>
      </c>
      <c r="L102" s="25">
        <f t="shared" si="57"/>
        <v>11566800</v>
      </c>
      <c r="M102" s="25">
        <v>0</v>
      </c>
      <c r="N102" s="25">
        <f t="shared" si="64"/>
        <v>0</v>
      </c>
      <c r="O102" s="25">
        <v>0</v>
      </c>
      <c r="P102" s="25">
        <f t="shared" si="65"/>
        <v>0</v>
      </c>
      <c r="Q102" s="25">
        <f t="shared" si="66"/>
        <v>0</v>
      </c>
      <c r="R102" s="101">
        <f t="shared" si="49"/>
        <v>0</v>
      </c>
      <c r="S102" s="16" t="e">
        <f>VLOOKUP(B102,#REF!,14,FALSE)</f>
        <v>#REF!</v>
      </c>
      <c r="T102" s="16">
        <f t="shared" si="47"/>
        <v>8192366.666666667</v>
      </c>
    </row>
    <row r="103" spans="1:20" x14ac:dyDescent="0.25">
      <c r="A103" s="22">
        <v>100</v>
      </c>
      <c r="B103" s="4" t="s">
        <v>153</v>
      </c>
      <c r="C103" s="197">
        <v>581.69600000000003</v>
      </c>
      <c r="D103" s="14">
        <v>500</v>
      </c>
      <c r="E103" s="14">
        <f t="shared" ref="E103" si="70">D103*0.85</f>
        <v>425</v>
      </c>
      <c r="F103" s="14">
        <v>5.75</v>
      </c>
      <c r="G103" s="14">
        <f t="shared" si="68"/>
        <v>3508.9274999999998</v>
      </c>
      <c r="H103" s="23">
        <f t="shared" si="69"/>
        <v>1.6577600990616079</v>
      </c>
      <c r="J103" s="141"/>
      <c r="K103" s="25">
        <f t="shared" si="56"/>
        <v>306000000</v>
      </c>
      <c r="L103" s="25">
        <f t="shared" si="57"/>
        <v>17595000</v>
      </c>
      <c r="M103" s="25">
        <v>0</v>
      </c>
      <c r="N103" s="25">
        <f t="shared" si="64"/>
        <v>0</v>
      </c>
      <c r="O103" s="25">
        <v>0</v>
      </c>
      <c r="P103" s="25">
        <f t="shared" si="65"/>
        <v>0</v>
      </c>
      <c r="Q103" s="25">
        <f t="shared" si="66"/>
        <v>0</v>
      </c>
      <c r="R103" s="101">
        <f t="shared" si="49"/>
        <v>0</v>
      </c>
      <c r="S103" s="16" t="e">
        <f>VLOOKUP(B103,#REF!,14,FALSE)</f>
        <v>#REF!</v>
      </c>
      <c r="T103" s="16">
        <f t="shared" si="47"/>
        <v>11633920</v>
      </c>
    </row>
    <row r="104" spans="1:20" x14ac:dyDescent="0.25">
      <c r="A104" s="22">
        <v>101</v>
      </c>
      <c r="B104" s="4" t="s">
        <v>145</v>
      </c>
      <c r="C104" s="25"/>
      <c r="D104" s="25"/>
      <c r="E104" s="25"/>
      <c r="F104" s="25"/>
      <c r="G104" s="25"/>
      <c r="H104" s="23">
        <v>2.2069999999999999</v>
      </c>
      <c r="J104" s="141"/>
      <c r="K104" s="25">
        <f t="shared" si="56"/>
        <v>0</v>
      </c>
      <c r="L104" s="25">
        <f t="shared" si="57"/>
        <v>0</v>
      </c>
      <c r="M104" s="25">
        <v>0</v>
      </c>
      <c r="N104" s="25">
        <f t="shared" si="64"/>
        <v>0</v>
      </c>
      <c r="O104" s="25">
        <v>0</v>
      </c>
      <c r="P104" s="25">
        <f t="shared" si="65"/>
        <v>0</v>
      </c>
      <c r="Q104" s="25">
        <f t="shared" si="66"/>
        <v>0</v>
      </c>
      <c r="R104" s="101">
        <f t="shared" si="49"/>
        <v>0</v>
      </c>
      <c r="S104" s="16" t="e">
        <f>VLOOKUP(B104,#REF!,14,FALSE)</f>
        <v>#REF!</v>
      </c>
      <c r="T104" s="16" t="e">
        <f t="shared" si="47"/>
        <v>#DIV/0!</v>
      </c>
    </row>
    <row r="105" spans="1:20" x14ac:dyDescent="0.25">
      <c r="A105" s="22">
        <v>102</v>
      </c>
      <c r="B105" s="4" t="s">
        <v>59</v>
      </c>
      <c r="C105" s="25"/>
      <c r="D105" s="25"/>
      <c r="E105" s="25"/>
      <c r="F105" s="25"/>
      <c r="G105" s="25"/>
      <c r="H105" s="23"/>
      <c r="J105" s="141"/>
      <c r="K105" s="25"/>
      <c r="L105" s="25"/>
      <c r="M105" s="25"/>
      <c r="N105" s="25"/>
      <c r="O105" s="25"/>
      <c r="P105" s="25"/>
      <c r="Q105" s="25"/>
      <c r="R105" s="101">
        <v>0</v>
      </c>
      <c r="S105" s="16" t="e">
        <f>VLOOKUP(B105,#REF!,14,FALSE)</f>
        <v>#REF!</v>
      </c>
      <c r="T105" s="16" t="e">
        <f t="shared" si="47"/>
        <v>#DIV/0!</v>
      </c>
    </row>
    <row r="106" spans="1:20" x14ac:dyDescent="0.25">
      <c r="A106" s="22">
        <v>103</v>
      </c>
      <c r="B106" s="4" t="s">
        <v>67</v>
      </c>
      <c r="C106" s="25"/>
      <c r="D106" s="25"/>
      <c r="E106" s="25"/>
      <c r="F106" s="25"/>
      <c r="G106" s="25"/>
      <c r="H106" s="23"/>
      <c r="J106" s="141"/>
      <c r="K106" s="25"/>
      <c r="L106" s="25"/>
      <c r="M106" s="25"/>
      <c r="N106" s="25"/>
      <c r="O106" s="25"/>
      <c r="P106" s="25"/>
      <c r="Q106" s="25"/>
      <c r="R106" s="101">
        <v>0</v>
      </c>
      <c r="S106" s="16" t="e">
        <f>VLOOKUP(B106,#REF!,14,FALSE)</f>
        <v>#REF!</v>
      </c>
      <c r="T106" s="16" t="e">
        <f t="shared" si="47"/>
        <v>#DIV/0!</v>
      </c>
    </row>
    <row r="107" spans="1:20" x14ac:dyDescent="0.25">
      <c r="A107" s="22">
        <v>104</v>
      </c>
      <c r="B107" s="4" t="s">
        <v>68</v>
      </c>
      <c r="C107" s="25"/>
      <c r="D107" s="25"/>
      <c r="E107" s="25"/>
      <c r="F107" s="25"/>
      <c r="G107" s="25"/>
      <c r="H107" s="23"/>
      <c r="J107" s="141"/>
      <c r="K107" s="25"/>
      <c r="L107" s="25"/>
      <c r="M107" s="101"/>
      <c r="N107" s="101"/>
      <c r="O107" s="101"/>
      <c r="P107" s="25"/>
      <c r="Q107" s="25"/>
      <c r="R107" s="101">
        <v>0</v>
      </c>
      <c r="S107" s="16" t="e">
        <f>VLOOKUP(B107,#REF!,14,FALSE)</f>
        <v>#REF!</v>
      </c>
      <c r="T107" s="16" t="e">
        <f t="shared" si="47"/>
        <v>#DIV/0!</v>
      </c>
    </row>
    <row r="108" spans="1:20" x14ac:dyDescent="0.25">
      <c r="A108" s="22">
        <v>105</v>
      </c>
      <c r="B108" s="4" t="s">
        <v>43</v>
      </c>
      <c r="C108" s="25"/>
      <c r="D108" s="25"/>
      <c r="E108" s="14"/>
      <c r="F108" s="25">
        <v>6</v>
      </c>
      <c r="G108" s="14"/>
      <c r="H108" s="23">
        <v>0.16570016000000001</v>
      </c>
      <c r="J108" s="141"/>
      <c r="K108" s="25">
        <f t="shared" ref="K108" si="71">E108*24*30*1000</f>
        <v>0</v>
      </c>
      <c r="L108" s="25">
        <f t="shared" ref="L108" si="72">E108*F108%*24*30*1000</f>
        <v>0</v>
      </c>
      <c r="M108" s="101">
        <f>9089039/949299638</f>
        <v>9.574467993213329E-3</v>
      </c>
      <c r="N108" s="101">
        <f t="shared" ref="N108" si="73">L108*M108</f>
        <v>0</v>
      </c>
      <c r="O108" s="101">
        <f>27314171/949299638</f>
        <v>2.8772971047946402E-2</v>
      </c>
      <c r="P108" s="25">
        <f t="shared" ref="P108" si="74">O108*L108</f>
        <v>0</v>
      </c>
      <c r="Q108" s="25">
        <f t="shared" ref="Q108" si="75">P108+N108</f>
        <v>0</v>
      </c>
      <c r="R108" s="101">
        <f>M108+O108</f>
        <v>3.8347439041159732E-2</v>
      </c>
      <c r="S108" s="16" t="e">
        <f>VLOOKUP(B108,#REF!,14,FALSE)</f>
        <v>#REF!</v>
      </c>
      <c r="T108" s="16" t="e">
        <f t="shared" ref="T108" si="76">(C108*10^7)/D108</f>
        <v>#DIV/0!</v>
      </c>
    </row>
    <row r="109" spans="1:20" x14ac:dyDescent="0.25">
      <c r="A109" s="22">
        <v>106</v>
      </c>
      <c r="B109" s="4" t="s">
        <v>295</v>
      </c>
      <c r="C109" s="25">
        <f>1581.442</f>
        <v>1581.442</v>
      </c>
      <c r="D109" s="25">
        <v>660</v>
      </c>
      <c r="E109" s="14">
        <f t="shared" ref="E109:E110" si="77">D109*0.85</f>
        <v>561</v>
      </c>
      <c r="F109" s="25">
        <v>5.25</v>
      </c>
      <c r="G109" s="14">
        <f t="shared" ref="G109:G110" si="78">(E109*(100-F109)%*1000*24*365)/1000000</f>
        <v>4656.3561</v>
      </c>
      <c r="H109" s="23">
        <f t="shared" ref="H109:H110" si="79">C109*10/G109</f>
        <v>3.3963081131187538</v>
      </c>
      <c r="J109" s="141"/>
      <c r="K109" s="25"/>
      <c r="L109" s="25"/>
      <c r="M109" s="101"/>
      <c r="N109" s="101"/>
      <c r="O109" s="101"/>
      <c r="P109" s="25"/>
      <c r="Q109" s="25"/>
      <c r="R109" s="101"/>
    </row>
    <row r="110" spans="1:20" x14ac:dyDescent="0.25">
      <c r="A110" s="22">
        <v>107</v>
      </c>
      <c r="B110" s="13" t="s">
        <v>300</v>
      </c>
      <c r="C110" s="25">
        <v>1282.85735</v>
      </c>
      <c r="D110" s="25">
        <v>1320</v>
      </c>
      <c r="E110" s="14">
        <f t="shared" si="77"/>
        <v>1122</v>
      </c>
      <c r="F110" s="25">
        <v>5.75</v>
      </c>
      <c r="G110" s="14">
        <f t="shared" si="78"/>
        <v>9263.5686000000005</v>
      </c>
      <c r="H110" s="23">
        <f t="shared" si="79"/>
        <v>1.3848414206162407</v>
      </c>
      <c r="J110" s="141"/>
      <c r="K110" s="25"/>
      <c r="L110" s="25"/>
      <c r="M110" s="101"/>
      <c r="N110" s="101"/>
      <c r="O110" s="101"/>
      <c r="P110" s="25"/>
      <c r="Q110" s="25"/>
      <c r="R110" s="101"/>
    </row>
    <row r="111" spans="1:20" x14ac:dyDescent="0.25">
      <c r="A111" s="22">
        <v>108</v>
      </c>
      <c r="B111" s="4" t="s">
        <v>297</v>
      </c>
      <c r="C111" s="25"/>
      <c r="D111" s="25"/>
      <c r="E111" s="25"/>
      <c r="F111" s="25"/>
      <c r="G111" s="25"/>
      <c r="H111" s="23">
        <v>2.7149999999999999</v>
      </c>
      <c r="J111" s="141"/>
      <c r="K111" s="25"/>
      <c r="L111" s="25"/>
      <c r="M111" s="101"/>
      <c r="N111" s="101"/>
      <c r="O111" s="101"/>
      <c r="P111" s="25"/>
      <c r="Q111" s="25"/>
      <c r="R111" s="101"/>
    </row>
    <row r="112" spans="1:20" x14ac:dyDescent="0.25">
      <c r="A112" s="22">
        <v>109</v>
      </c>
      <c r="B112" s="4" t="s">
        <v>298</v>
      </c>
      <c r="C112" s="25"/>
      <c r="D112" s="25"/>
      <c r="E112" s="25"/>
      <c r="F112" s="25"/>
      <c r="G112" s="25"/>
      <c r="H112" s="23">
        <v>2.7610000000000001</v>
      </c>
      <c r="J112" s="141"/>
      <c r="K112" s="25"/>
      <c r="L112" s="25"/>
      <c r="M112" s="101"/>
      <c r="N112" s="101"/>
      <c r="O112" s="101"/>
      <c r="P112" s="25"/>
      <c r="Q112" s="25"/>
      <c r="R112" s="101"/>
    </row>
    <row r="113" spans="1:20" x14ac:dyDescent="0.25">
      <c r="A113" s="22">
        <v>110</v>
      </c>
      <c r="B113" s="4" t="s">
        <v>296</v>
      </c>
      <c r="C113" s="25"/>
      <c r="D113" s="25"/>
      <c r="E113" s="25"/>
      <c r="F113" s="25"/>
      <c r="G113" s="25"/>
      <c r="H113" s="23">
        <v>2.2530000000000001</v>
      </c>
      <c r="J113" s="141"/>
      <c r="K113" s="25"/>
      <c r="L113" s="25"/>
      <c r="M113" s="101"/>
      <c r="N113" s="101"/>
      <c r="O113" s="101"/>
      <c r="P113" s="25"/>
      <c r="Q113" s="25"/>
      <c r="R113" s="101"/>
    </row>
    <row r="114" spans="1:20" x14ac:dyDescent="0.25">
      <c r="A114" s="22">
        <v>111</v>
      </c>
      <c r="B114" s="4" t="s">
        <v>299</v>
      </c>
      <c r="C114" s="25"/>
      <c r="D114" s="25"/>
      <c r="E114" s="25"/>
      <c r="F114" s="25"/>
      <c r="G114" s="25"/>
      <c r="H114" s="23">
        <v>2.57</v>
      </c>
      <c r="J114" s="141"/>
      <c r="K114" s="25"/>
      <c r="L114" s="25"/>
      <c r="M114" s="101"/>
      <c r="N114" s="101"/>
      <c r="O114" s="101"/>
      <c r="P114" s="25"/>
      <c r="Q114" s="25"/>
      <c r="R114" s="101"/>
    </row>
    <row r="115" spans="1:20" ht="25.5" x14ac:dyDescent="0.25">
      <c r="A115" s="22">
        <v>112</v>
      </c>
      <c r="B115" s="13" t="s">
        <v>310</v>
      </c>
      <c r="C115" s="25"/>
      <c r="D115" s="25"/>
      <c r="E115" s="25"/>
      <c r="F115" s="25"/>
      <c r="G115" s="25"/>
      <c r="H115" s="23">
        <v>2.6</v>
      </c>
      <c r="J115" s="141"/>
      <c r="K115" s="25"/>
      <c r="L115" s="25"/>
      <c r="M115" s="101"/>
      <c r="N115" s="101"/>
      <c r="O115" s="101"/>
      <c r="P115" s="25"/>
      <c r="Q115" s="25"/>
      <c r="R115" s="101"/>
    </row>
    <row r="116" spans="1:20" ht="25.5" x14ac:dyDescent="0.25">
      <c r="A116" s="22">
        <v>113</v>
      </c>
      <c r="B116" s="13" t="s">
        <v>311</v>
      </c>
      <c r="C116" s="25"/>
      <c r="D116" s="25"/>
      <c r="E116" s="25"/>
      <c r="F116" s="25"/>
      <c r="G116" s="25"/>
      <c r="H116" s="23">
        <v>2.16</v>
      </c>
      <c r="J116" s="141"/>
      <c r="K116" s="25"/>
      <c r="L116" s="25"/>
      <c r="M116" s="101"/>
      <c r="N116" s="101"/>
      <c r="O116" s="101"/>
      <c r="P116" s="25"/>
      <c r="Q116" s="25"/>
      <c r="R116" s="101"/>
    </row>
    <row r="122" spans="1:20" x14ac:dyDescent="0.25">
      <c r="A122" s="22">
        <v>57</v>
      </c>
      <c r="B122" s="25" t="s">
        <v>70</v>
      </c>
      <c r="C122" s="200">
        <v>2255</v>
      </c>
      <c r="D122" s="14">
        <v>1045</v>
      </c>
      <c r="E122" s="14">
        <f>D122*0.85</f>
        <v>888.25</v>
      </c>
      <c r="F122" s="14">
        <v>0</v>
      </c>
      <c r="G122" s="14">
        <f t="shared" ref="G122" si="80">(E122*(100-F122)%*1000*24*365)/1000000</f>
        <v>7781.07</v>
      </c>
      <c r="H122" s="23">
        <f t="shared" ref="H122" si="81">C122*10/G122</f>
        <v>2.8980590073087638</v>
      </c>
      <c r="J122" s="141"/>
      <c r="K122" s="25">
        <f t="shared" ref="K122" si="82">E122*24*30*1000</f>
        <v>639540000</v>
      </c>
      <c r="L122" s="25">
        <f t="shared" ref="L122" si="83">E122*F122%*24*30*1000</f>
        <v>0</v>
      </c>
      <c r="M122" s="25">
        <v>0.15</v>
      </c>
      <c r="N122" s="25">
        <f t="shared" ref="N122" si="84">L122*M122</f>
        <v>0</v>
      </c>
      <c r="O122" s="25">
        <v>0.61199999999999999</v>
      </c>
      <c r="P122" s="25">
        <f t="shared" ref="P122" si="85">O122*L122</f>
        <v>0</v>
      </c>
      <c r="Q122" s="25">
        <f t="shared" ref="Q122" si="86">P122+N122</f>
        <v>0</v>
      </c>
      <c r="R122" s="101">
        <f t="shared" ref="R122" si="87">IFERROR((Q122/K122),0)</f>
        <v>0</v>
      </c>
      <c r="S122" s="16" t="e">
        <f>VLOOKUP(B122,#REF!,14,FALSE)</f>
        <v>#REF!</v>
      </c>
      <c r="T122" s="16">
        <f t="shared" ref="T122" si="88">(C122*10^7)/D122</f>
        <v>21578947.368421052</v>
      </c>
    </row>
    <row r="125" spans="1:20" x14ac:dyDescent="0.25">
      <c r="D125" s="16">
        <f>C122*85%</f>
        <v>1916.75</v>
      </c>
    </row>
    <row r="126" spans="1:20" x14ac:dyDescent="0.25">
      <c r="D126" s="16">
        <f>D125/12</f>
        <v>159.72916666666666</v>
      </c>
      <c r="E126" s="16">
        <f>1340-1230</f>
        <v>110</v>
      </c>
      <c r="F126" s="222">
        <f>1230/1340</f>
        <v>0.91791044776119401</v>
      </c>
    </row>
    <row r="127" spans="1:20" x14ac:dyDescent="0.25">
      <c r="D127" s="16">
        <f>D125/12</f>
        <v>159.72916666666666</v>
      </c>
      <c r="E127" s="223">
        <f>E126/1340</f>
        <v>8.2089552238805971E-2</v>
      </c>
    </row>
  </sheetData>
  <sortState ref="B56:H90">
    <sortCondition ref="B56:B90"/>
  </sortState>
  <pageMargins left="0.70866141732283472" right="0.70866141732283472" top="0.74803149606299213" bottom="0.74803149606299213" header="0.31496062992125984" footer="0.31496062992125984"/>
  <pageSetup paperSize="9" scale="90"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15</vt:i4>
      </vt:variant>
    </vt:vector>
  </HeadingPairs>
  <TitlesOfParts>
    <vt:vector size="28" baseType="lpstr">
      <vt:lpstr>TOTAL MOD working excl biomass</vt:lpstr>
      <vt:lpstr>URS 4</vt:lpstr>
      <vt:lpstr>Excl URS 3 </vt:lpstr>
      <vt:lpstr> Rate sheet  2</vt:lpstr>
      <vt:lpstr>rate sheet periphery 1</vt:lpstr>
      <vt:lpstr>TOTAL MOD working incl Biomass</vt:lpstr>
      <vt:lpstr>Excl URS incl biomass</vt:lpstr>
      <vt:lpstr>Comparison</vt:lpstr>
      <vt:lpstr>TOTAL MOD working (2)</vt:lpstr>
      <vt:lpstr>Incentive</vt:lpstr>
      <vt:lpstr>Incentive 5</vt:lpstr>
      <vt:lpstr>rate sheet working</vt:lpstr>
      <vt:lpstr>fixed cost</vt:lpstr>
      <vt:lpstr>' Rate sheet  2'!Print_Area</vt:lpstr>
      <vt:lpstr>Comparison!Print_Area</vt:lpstr>
      <vt:lpstr>'Excl URS 3 '!Print_Area</vt:lpstr>
      <vt:lpstr>'Excl URS incl biomass'!Print_Area</vt:lpstr>
      <vt:lpstr>Incentive!Print_Area</vt:lpstr>
      <vt:lpstr>'Incentive 5'!Print_Area</vt:lpstr>
      <vt:lpstr>'rate sheet periphery 1'!Print_Area</vt:lpstr>
      <vt:lpstr>'rate sheet working'!Print_Area</vt:lpstr>
      <vt:lpstr>'TOTAL MOD working (2)'!Print_Area</vt:lpstr>
      <vt:lpstr>'TOTAL MOD working excl biomass'!Print_Area</vt:lpstr>
      <vt:lpstr>'TOTAL MOD working incl Biomass'!Print_Area</vt:lpstr>
      <vt:lpstr>'URS 4'!Print_Area</vt:lpstr>
      <vt:lpstr>'TOTAL MOD working (2)'!Print_Titles</vt:lpstr>
      <vt:lpstr>'TOTAL MOD working excl biomass'!Print_Titles</vt:lpstr>
      <vt:lpstr>'TOTAL MOD working incl Biomass'!Print_Titles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mppmcl</dc:creator>
  <cp:lastModifiedBy>hp</cp:lastModifiedBy>
  <cp:lastPrinted>2026-04-10T11:28:56Z</cp:lastPrinted>
  <dcterms:created xsi:type="dcterms:W3CDTF">2014-01-31T06:36:05Z</dcterms:created>
  <dcterms:modified xsi:type="dcterms:W3CDTF">2026-04-13T05:49:39Z</dcterms:modified>
</cp:coreProperties>
</file>