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D Run\Apr-26\14-Apr-26\"/>
    </mc:Choice>
  </mc:AlternateContent>
  <bookViews>
    <workbookView xWindow="0" yWindow="0" windowWidth="28800" windowHeight="10425"/>
  </bookViews>
  <sheets>
    <sheet name="Sheet1 (2)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2" l="1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F101" i="2" l="1"/>
  <c r="F102" i="2" s="1"/>
  <c r="D101" i="2"/>
  <c r="D102" i="2" s="1"/>
</calcChain>
</file>

<file path=xl/sharedStrings.xml><?xml version="1.0" encoding="utf-8"?>
<sst xmlns="http://schemas.openxmlformats.org/spreadsheetml/2006/main" count="13" uniqueCount="13">
  <si>
    <t>Day Ahead forecasting of Restricted Demand,   
Load Relief &amp; Un-restricted Demand of EAST DISCOM.</t>
  </si>
  <si>
    <t>EAST ZONE</t>
  </si>
  <si>
    <t>Block.      No.</t>
  </si>
  <si>
    <t>Time block</t>
  </si>
  <si>
    <t>Projected restricted Demand</t>
  </si>
  <si>
    <t>Projected Relief Load shedding)</t>
  </si>
  <si>
    <t>Projected            Un-Restricted Demand</t>
  </si>
  <si>
    <t>From</t>
  </si>
  <si>
    <t>To</t>
  </si>
  <si>
    <t>Average Demand</t>
  </si>
  <si>
    <t>Total LU</t>
  </si>
  <si>
    <t xml:space="preserve">NOTE :-    </t>
  </si>
  <si>
    <t xml:space="preserve"> Supply Hrs   CHQ 24:00,DHQ 24, THQ 24:00, Rural 24:00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</si>
</sst>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1" fontId="9" fillId="5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3" borderId="5" xfId="0" applyFont="1" applyFill="1" applyBorder="1" applyAlignment="1">
      <alignment horizontal="center" vertical="center"/>
    </xf>
    <xf numFmtId="20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20" fontId="8" fillId="0" borderId="5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1" fontId="0" fillId="0" borderId="5" xfId="0" applyNumberFormat="1" applyBorder="1" applyAlignment="1">
      <alignment horizontal="center"/>
    </xf>
    <xf numFmtId="1" fontId="9" fillId="5" borderId="5" xfId="0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20" fontId="11" fillId="3" borderId="5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zoomScaleNormal="100" workbookViewId="0">
      <selection activeCell="F5" sqref="F5"/>
    </sheetView>
  </sheetViews>
  <sheetFormatPr defaultColWidth="9" defaultRowHeight="15"/>
  <cols>
    <col min="1" max="1" width="8.7109375" style="6" customWidth="1"/>
    <col min="2" max="3" width="6.7109375" style="6" customWidth="1"/>
    <col min="4" max="4" width="10.5703125" style="6" customWidth="1"/>
    <col min="5" max="5" width="11.140625" style="6" customWidth="1"/>
    <col min="6" max="6" width="11.28515625" style="2" customWidth="1"/>
    <col min="7" max="16384" width="9" style="6"/>
  </cols>
  <sheetData>
    <row r="1" spans="1:6" ht="39" customHeight="1">
      <c r="A1" s="28" t="s">
        <v>0</v>
      </c>
      <c r="B1" s="28"/>
      <c r="C1" s="28"/>
      <c r="D1" s="28"/>
      <c r="E1" s="28"/>
      <c r="F1" s="28"/>
    </row>
    <row r="2" spans="1:6" ht="22.5" customHeight="1">
      <c r="A2" s="29" t="s">
        <v>1</v>
      </c>
      <c r="B2" s="29"/>
      <c r="C2" s="29"/>
      <c r="D2" s="29"/>
      <c r="E2" s="30">
        <v>46126</v>
      </c>
      <c r="F2" s="29"/>
    </row>
    <row r="3" spans="1:6" ht="28.5" customHeight="1">
      <c r="A3" s="24" t="s">
        <v>2</v>
      </c>
      <c r="B3" s="24" t="s">
        <v>3</v>
      </c>
      <c r="C3" s="25"/>
      <c r="D3" s="24" t="s">
        <v>4</v>
      </c>
      <c r="E3" s="24" t="s">
        <v>5</v>
      </c>
      <c r="F3" s="33" t="s">
        <v>6</v>
      </c>
    </row>
    <row r="4" spans="1:6" s="1" customFormat="1" ht="42" customHeight="1">
      <c r="A4" s="25"/>
      <c r="B4" s="13" t="s">
        <v>7</v>
      </c>
      <c r="C4" s="13" t="s">
        <v>8</v>
      </c>
      <c r="D4" s="25"/>
      <c r="E4" s="25"/>
      <c r="F4" s="34"/>
    </row>
    <row r="5" spans="1:6" ht="15" customHeight="1">
      <c r="A5" s="7">
        <v>1</v>
      </c>
      <c r="B5" s="8">
        <v>0</v>
      </c>
      <c r="C5" s="8">
        <v>1.0416666666666701E-2</v>
      </c>
      <c r="D5" s="15">
        <f>F5</f>
        <v>4098.1269999999995</v>
      </c>
      <c r="E5" s="9">
        <v>0</v>
      </c>
      <c r="F5" s="15">
        <v>4098.1269999999995</v>
      </c>
    </row>
    <row r="6" spans="1:6" ht="15" customHeight="1">
      <c r="A6" s="7">
        <v>2</v>
      </c>
      <c r="B6" s="8">
        <v>1.0416666666666701E-2</v>
      </c>
      <c r="C6" s="8">
        <v>2.0833333333333301E-2</v>
      </c>
      <c r="D6" s="15">
        <f t="shared" ref="D6:D69" si="0">F6</f>
        <v>4029.317</v>
      </c>
      <c r="E6" s="9">
        <v>0</v>
      </c>
      <c r="F6" s="15">
        <v>4029.317</v>
      </c>
    </row>
    <row r="7" spans="1:6" ht="15" customHeight="1">
      <c r="A7" s="7">
        <v>3</v>
      </c>
      <c r="B7" s="8">
        <v>2.0833333333333301E-2</v>
      </c>
      <c r="C7" s="8">
        <v>3.125E-2</v>
      </c>
      <c r="D7" s="15">
        <f t="shared" si="0"/>
        <v>4076.5009999999997</v>
      </c>
      <c r="E7" s="9">
        <v>0</v>
      </c>
      <c r="F7" s="15">
        <v>4076.5009999999997</v>
      </c>
    </row>
    <row r="8" spans="1:6" ht="15" customHeight="1">
      <c r="A8" s="7">
        <v>4</v>
      </c>
      <c r="B8" s="8">
        <v>3.125E-2</v>
      </c>
      <c r="C8" s="8">
        <v>4.1666666666666699E-2</v>
      </c>
      <c r="D8" s="15">
        <f t="shared" si="0"/>
        <v>3868.105</v>
      </c>
      <c r="E8" s="9">
        <v>0</v>
      </c>
      <c r="F8" s="15">
        <v>3868.105</v>
      </c>
    </row>
    <row r="9" spans="1:6" ht="15" customHeight="1">
      <c r="A9" s="7">
        <v>5</v>
      </c>
      <c r="B9" s="8">
        <v>4.1666666666666699E-2</v>
      </c>
      <c r="C9" s="8">
        <v>5.2083333333333398E-2</v>
      </c>
      <c r="D9" s="15">
        <f t="shared" si="0"/>
        <v>3968.3710000000001</v>
      </c>
      <c r="E9" s="9">
        <v>0</v>
      </c>
      <c r="F9" s="15">
        <v>3968.3710000000001</v>
      </c>
    </row>
    <row r="10" spans="1:6" ht="15" customHeight="1">
      <c r="A10" s="7">
        <v>6</v>
      </c>
      <c r="B10" s="8">
        <v>5.2083333333333301E-2</v>
      </c>
      <c r="C10" s="8">
        <v>6.25E-2</v>
      </c>
      <c r="D10" s="15">
        <f t="shared" si="0"/>
        <v>4010.64</v>
      </c>
      <c r="E10" s="9">
        <v>0</v>
      </c>
      <c r="F10" s="15">
        <v>4010.64</v>
      </c>
    </row>
    <row r="11" spans="1:6" ht="15" customHeight="1">
      <c r="A11" s="7">
        <v>7</v>
      </c>
      <c r="B11" s="8">
        <v>6.25E-2</v>
      </c>
      <c r="C11" s="8">
        <v>7.2916666666666699E-2</v>
      </c>
      <c r="D11" s="15">
        <f t="shared" si="0"/>
        <v>3997.8609999999999</v>
      </c>
      <c r="E11" s="9">
        <v>0</v>
      </c>
      <c r="F11" s="15">
        <v>3997.8609999999999</v>
      </c>
    </row>
    <row r="12" spans="1:6" ht="15" customHeight="1">
      <c r="A12" s="7">
        <v>8</v>
      </c>
      <c r="B12" s="8">
        <v>7.2916666666666699E-2</v>
      </c>
      <c r="C12" s="8">
        <v>8.3333333333333398E-2</v>
      </c>
      <c r="D12" s="15">
        <f t="shared" si="0"/>
        <v>3832.7170000000001</v>
      </c>
      <c r="E12" s="9">
        <v>0</v>
      </c>
      <c r="F12" s="15">
        <v>3832.7170000000001</v>
      </c>
    </row>
    <row r="13" spans="1:6" ht="15" customHeight="1">
      <c r="A13" s="7">
        <v>9</v>
      </c>
      <c r="B13" s="8">
        <v>8.3333333333333301E-2</v>
      </c>
      <c r="C13" s="8">
        <v>9.375E-2</v>
      </c>
      <c r="D13" s="15">
        <f t="shared" si="0"/>
        <v>3800.2779999999998</v>
      </c>
      <c r="E13" s="9">
        <v>0</v>
      </c>
      <c r="F13" s="15">
        <v>3800.2779999999998</v>
      </c>
    </row>
    <row r="14" spans="1:6" ht="15" customHeight="1">
      <c r="A14" s="7">
        <v>10</v>
      </c>
      <c r="B14" s="8">
        <v>9.375E-2</v>
      </c>
      <c r="C14" s="8">
        <v>0.104166666666667</v>
      </c>
      <c r="D14" s="15">
        <f t="shared" si="0"/>
        <v>3785.5329999999999</v>
      </c>
      <c r="E14" s="9">
        <v>0</v>
      </c>
      <c r="F14" s="15">
        <v>3785.5329999999999</v>
      </c>
    </row>
    <row r="15" spans="1:6" ht="15" customHeight="1">
      <c r="A15" s="7">
        <v>11</v>
      </c>
      <c r="B15" s="8">
        <v>0.104166666666667</v>
      </c>
      <c r="C15" s="8">
        <v>0.11458333333333399</v>
      </c>
      <c r="D15" s="15">
        <f t="shared" si="0"/>
        <v>3790.4479999999999</v>
      </c>
      <c r="E15" s="9">
        <v>0</v>
      </c>
      <c r="F15" s="15">
        <v>3790.4479999999999</v>
      </c>
    </row>
    <row r="16" spans="1:6" ht="15" customHeight="1">
      <c r="A16" s="7">
        <v>12</v>
      </c>
      <c r="B16" s="8">
        <v>0.114583333333333</v>
      </c>
      <c r="C16" s="8">
        <v>0.125</v>
      </c>
      <c r="D16" s="15">
        <f t="shared" si="0"/>
        <v>3796.346</v>
      </c>
      <c r="E16" s="9">
        <v>0</v>
      </c>
      <c r="F16" s="15">
        <v>3796.346</v>
      </c>
    </row>
    <row r="17" spans="1:6" ht="15" customHeight="1">
      <c r="A17" s="7">
        <v>13</v>
      </c>
      <c r="B17" s="8">
        <v>0.125</v>
      </c>
      <c r="C17" s="8">
        <v>0.13541666666666699</v>
      </c>
      <c r="D17" s="15">
        <f t="shared" si="0"/>
        <v>3786.5160000000001</v>
      </c>
      <c r="E17" s="9">
        <v>0</v>
      </c>
      <c r="F17" s="15">
        <v>3786.5160000000001</v>
      </c>
    </row>
    <row r="18" spans="1:6" ht="15" customHeight="1">
      <c r="A18" s="7">
        <v>14</v>
      </c>
      <c r="B18" s="8">
        <v>0.13541666666666699</v>
      </c>
      <c r="C18" s="8">
        <v>0.14583333333333401</v>
      </c>
      <c r="D18" s="15">
        <f t="shared" si="0"/>
        <v>3775.703</v>
      </c>
      <c r="E18" s="9">
        <v>0</v>
      </c>
      <c r="F18" s="15">
        <v>3775.703</v>
      </c>
    </row>
    <row r="19" spans="1:6" ht="15" customHeight="1">
      <c r="A19" s="7">
        <v>15</v>
      </c>
      <c r="B19" s="8">
        <v>0.14583333333333301</v>
      </c>
      <c r="C19" s="8">
        <v>0.15625</v>
      </c>
      <c r="D19" s="15">
        <f t="shared" si="0"/>
        <v>3739.3319999999999</v>
      </c>
      <c r="E19" s="9">
        <v>0</v>
      </c>
      <c r="F19" s="15">
        <v>3739.3319999999999</v>
      </c>
    </row>
    <row r="20" spans="1:6" ht="15" customHeight="1">
      <c r="A20" s="7">
        <v>16</v>
      </c>
      <c r="B20" s="8">
        <v>0.15625</v>
      </c>
      <c r="C20" s="8">
        <v>0.16666666666666699</v>
      </c>
      <c r="D20" s="15">
        <f t="shared" si="0"/>
        <v>3703.944</v>
      </c>
      <c r="E20" s="9">
        <v>0</v>
      </c>
      <c r="F20" s="15">
        <v>3703.944</v>
      </c>
    </row>
    <row r="21" spans="1:6" ht="15" customHeight="1">
      <c r="A21" s="7">
        <v>17</v>
      </c>
      <c r="B21" s="8">
        <v>0.16666666666666699</v>
      </c>
      <c r="C21" s="8">
        <v>0.17708333333333401</v>
      </c>
      <c r="D21" s="15">
        <f t="shared" si="0"/>
        <v>3704.9270000000001</v>
      </c>
      <c r="E21" s="9">
        <v>0</v>
      </c>
      <c r="F21" s="15">
        <v>3704.9270000000001</v>
      </c>
    </row>
    <row r="22" spans="1:6" ht="15" customHeight="1">
      <c r="A22" s="7">
        <v>18</v>
      </c>
      <c r="B22" s="8">
        <v>0.17708333333333301</v>
      </c>
      <c r="C22" s="8">
        <v>0.1875</v>
      </c>
      <c r="D22" s="15">
        <f t="shared" si="0"/>
        <v>3665.607</v>
      </c>
      <c r="E22" s="9">
        <v>0</v>
      </c>
      <c r="F22" s="15">
        <v>3665.607</v>
      </c>
    </row>
    <row r="23" spans="1:6">
      <c r="A23" s="7">
        <v>19</v>
      </c>
      <c r="B23" s="8">
        <v>0.1875</v>
      </c>
      <c r="C23" s="8">
        <v>0.19791666666666699</v>
      </c>
      <c r="D23" s="15">
        <f t="shared" si="0"/>
        <v>3659.7089999999998</v>
      </c>
      <c r="E23" s="9">
        <v>0</v>
      </c>
      <c r="F23" s="15">
        <v>3659.7089999999998</v>
      </c>
    </row>
    <row r="24" spans="1:6">
      <c r="A24" s="7">
        <v>20</v>
      </c>
      <c r="B24" s="8">
        <v>0.19791666666666699</v>
      </c>
      <c r="C24" s="8">
        <v>0.20833333333333401</v>
      </c>
      <c r="D24" s="15">
        <f t="shared" si="0"/>
        <v>3503.4119999999998</v>
      </c>
      <c r="E24" s="9">
        <v>0</v>
      </c>
      <c r="F24" s="15">
        <v>3503.4119999999998</v>
      </c>
    </row>
    <row r="25" spans="1:6">
      <c r="A25" s="7">
        <v>21</v>
      </c>
      <c r="B25" s="8">
        <v>0.20833333333333301</v>
      </c>
      <c r="C25" s="8">
        <v>0.21875</v>
      </c>
      <c r="D25" s="15">
        <f t="shared" si="0"/>
        <v>3656.7599999999998</v>
      </c>
      <c r="E25" s="9">
        <v>0</v>
      </c>
      <c r="F25" s="15">
        <v>3656.7599999999998</v>
      </c>
    </row>
    <row r="26" spans="1:6">
      <c r="A26" s="7">
        <v>22</v>
      </c>
      <c r="B26" s="8">
        <v>0.21875</v>
      </c>
      <c r="C26" s="8">
        <v>0.22916666666666699</v>
      </c>
      <c r="D26" s="15">
        <f t="shared" si="0"/>
        <v>3758.009</v>
      </c>
      <c r="E26" s="9">
        <v>0</v>
      </c>
      <c r="F26" s="15">
        <v>3758.009</v>
      </c>
    </row>
    <row r="27" spans="1:6">
      <c r="A27" s="7">
        <v>23</v>
      </c>
      <c r="B27" s="8">
        <v>0.22916666666666699</v>
      </c>
      <c r="C27" s="8">
        <v>0.23958333333333401</v>
      </c>
      <c r="D27" s="15">
        <f t="shared" si="0"/>
        <v>3842.547</v>
      </c>
      <c r="E27" s="9">
        <v>0</v>
      </c>
      <c r="F27" s="15">
        <v>3842.547</v>
      </c>
    </row>
    <row r="28" spans="1:6" ht="15" customHeight="1">
      <c r="A28" s="7">
        <v>24</v>
      </c>
      <c r="B28" s="8">
        <v>0.23958333333333301</v>
      </c>
      <c r="C28" s="8">
        <v>0.25</v>
      </c>
      <c r="D28" s="15">
        <f t="shared" si="0"/>
        <v>3793.3969999999999</v>
      </c>
      <c r="E28" s="9">
        <v>0</v>
      </c>
      <c r="F28" s="15">
        <v>3793.3969999999999</v>
      </c>
    </row>
    <row r="29" spans="1:6">
      <c r="A29" s="7">
        <v>25</v>
      </c>
      <c r="B29" s="8">
        <v>0.25</v>
      </c>
      <c r="C29" s="8">
        <v>0.26041666666666702</v>
      </c>
      <c r="D29" s="15">
        <f t="shared" si="0"/>
        <v>4049.96</v>
      </c>
      <c r="E29" s="9">
        <v>0</v>
      </c>
      <c r="F29" s="15">
        <v>4049.96</v>
      </c>
    </row>
    <row r="30" spans="1:6" ht="13.5" customHeight="1">
      <c r="A30" s="7">
        <v>26</v>
      </c>
      <c r="B30" s="8">
        <v>0.26041666666666702</v>
      </c>
      <c r="C30" s="8">
        <v>0.27083333333333398</v>
      </c>
      <c r="D30" s="15">
        <f t="shared" si="0"/>
        <v>4144.3279999999995</v>
      </c>
      <c r="E30" s="9">
        <v>0</v>
      </c>
      <c r="F30" s="15">
        <v>4144.3279999999995</v>
      </c>
    </row>
    <row r="31" spans="1:6">
      <c r="A31" s="7">
        <v>27</v>
      </c>
      <c r="B31" s="8">
        <v>0.27083333333333298</v>
      </c>
      <c r="C31" s="8">
        <v>0.28125</v>
      </c>
      <c r="D31" s="15">
        <f t="shared" si="0"/>
        <v>4233.7809999999999</v>
      </c>
      <c r="E31" s="9">
        <v>0</v>
      </c>
      <c r="F31" s="15">
        <v>4233.7809999999999</v>
      </c>
    </row>
    <row r="32" spans="1:6">
      <c r="A32" s="7">
        <v>28</v>
      </c>
      <c r="B32" s="8">
        <v>0.28125</v>
      </c>
      <c r="C32" s="8">
        <v>0.29166666666666702</v>
      </c>
      <c r="D32" s="15">
        <f t="shared" si="0"/>
        <v>4237.7129999999997</v>
      </c>
      <c r="E32" s="9">
        <v>0</v>
      </c>
      <c r="F32" s="15">
        <v>4237.7129999999997</v>
      </c>
    </row>
    <row r="33" spans="1:6" s="2" customFormat="1">
      <c r="A33" s="7">
        <v>29</v>
      </c>
      <c r="B33" s="8">
        <v>0.29166666666666702</v>
      </c>
      <c r="C33" s="8">
        <v>0.30208333333333398</v>
      </c>
      <c r="D33" s="15">
        <f t="shared" si="0"/>
        <v>4177.75</v>
      </c>
      <c r="E33" s="9">
        <v>0</v>
      </c>
      <c r="F33" s="17">
        <v>4177.75</v>
      </c>
    </row>
    <row r="34" spans="1:6" s="2" customFormat="1">
      <c r="A34" s="7">
        <v>30</v>
      </c>
      <c r="B34" s="8">
        <v>0.30208333333333298</v>
      </c>
      <c r="C34" s="8">
        <v>0.3125</v>
      </c>
      <c r="D34" s="15">
        <f t="shared" si="0"/>
        <v>4094.1950000000002</v>
      </c>
      <c r="E34" s="9">
        <v>0</v>
      </c>
      <c r="F34" s="17">
        <v>4094.1950000000002</v>
      </c>
    </row>
    <row r="35" spans="1:6" s="2" customFormat="1">
      <c r="A35" s="7">
        <v>31</v>
      </c>
      <c r="B35" s="8">
        <v>0.3125</v>
      </c>
      <c r="C35" s="8">
        <v>0.32291666666666702</v>
      </c>
      <c r="D35" s="15">
        <f t="shared" si="0"/>
        <v>3998.8440000000001</v>
      </c>
      <c r="E35" s="9">
        <v>0</v>
      </c>
      <c r="F35" s="17">
        <v>3998.8440000000001</v>
      </c>
    </row>
    <row r="36" spans="1:6" s="20" customFormat="1">
      <c r="A36" s="7">
        <v>32</v>
      </c>
      <c r="B36" s="18">
        <v>0.32291666666666702</v>
      </c>
      <c r="C36" s="18">
        <v>0.33333333333333398</v>
      </c>
      <c r="D36" s="19">
        <f t="shared" si="0"/>
        <v>3881.8669999999997</v>
      </c>
      <c r="E36" s="7">
        <v>0</v>
      </c>
      <c r="F36" s="19">
        <v>3881.8669999999997</v>
      </c>
    </row>
    <row r="37" spans="1:6" s="2" customFormat="1">
      <c r="A37" s="7">
        <v>33</v>
      </c>
      <c r="B37" s="8">
        <v>0.33333333333333298</v>
      </c>
      <c r="C37" s="8">
        <v>0.34375</v>
      </c>
      <c r="D37" s="17">
        <f t="shared" si="0"/>
        <v>3855.326</v>
      </c>
      <c r="E37" s="9">
        <v>0</v>
      </c>
      <c r="F37" s="17">
        <v>3855.326</v>
      </c>
    </row>
    <row r="38" spans="1:6">
      <c r="A38" s="7">
        <v>34</v>
      </c>
      <c r="B38" s="8">
        <v>0.34375</v>
      </c>
      <c r="C38" s="8">
        <v>0.35416666666666702</v>
      </c>
      <c r="D38" s="15">
        <f t="shared" si="0"/>
        <v>3887.7649999999999</v>
      </c>
      <c r="E38" s="9">
        <v>0</v>
      </c>
      <c r="F38" s="15">
        <v>3887.7649999999999</v>
      </c>
    </row>
    <row r="39" spans="1:6" s="2" customFormat="1">
      <c r="A39" s="7">
        <v>35</v>
      </c>
      <c r="B39" s="8">
        <v>0.35416666666666702</v>
      </c>
      <c r="C39" s="8">
        <v>0.36458333333333398</v>
      </c>
      <c r="D39" s="15">
        <f t="shared" si="0"/>
        <v>3818.9549999999999</v>
      </c>
      <c r="E39" s="9">
        <v>0</v>
      </c>
      <c r="F39" s="15">
        <v>3818.9549999999999</v>
      </c>
    </row>
    <row r="40" spans="1:6">
      <c r="A40" s="7">
        <v>36</v>
      </c>
      <c r="B40" s="8">
        <v>0.36458333333333298</v>
      </c>
      <c r="C40" s="8">
        <v>0.375</v>
      </c>
      <c r="D40" s="15">
        <f t="shared" si="0"/>
        <v>3812.0740000000001</v>
      </c>
      <c r="E40" s="9">
        <v>0</v>
      </c>
      <c r="F40" s="15">
        <v>3812.0740000000001</v>
      </c>
    </row>
    <row r="41" spans="1:6">
      <c r="A41" s="7">
        <v>37</v>
      </c>
      <c r="B41" s="8">
        <v>0.375</v>
      </c>
      <c r="C41" s="8">
        <v>0.38541666666666702</v>
      </c>
      <c r="D41" s="15">
        <f t="shared" si="0"/>
        <v>3731.4679999999998</v>
      </c>
      <c r="E41" s="9">
        <v>0</v>
      </c>
      <c r="F41" s="15">
        <v>3731.4679999999998</v>
      </c>
    </row>
    <row r="42" spans="1:6">
      <c r="A42" s="7">
        <v>38</v>
      </c>
      <c r="B42" s="8">
        <v>0.38541666666666702</v>
      </c>
      <c r="C42" s="8">
        <v>0.39583333333333398</v>
      </c>
      <c r="D42" s="15">
        <f t="shared" si="0"/>
        <v>3758.009</v>
      </c>
      <c r="E42" s="9">
        <v>0</v>
      </c>
      <c r="F42" s="15">
        <v>3758.009</v>
      </c>
    </row>
    <row r="43" spans="1:6">
      <c r="A43" s="7">
        <v>39</v>
      </c>
      <c r="B43" s="8">
        <v>0.39583333333333298</v>
      </c>
      <c r="C43" s="8">
        <v>0.40625</v>
      </c>
      <c r="D43" s="15">
        <f t="shared" si="0"/>
        <v>3756.0430000000001</v>
      </c>
      <c r="E43" s="9">
        <v>0</v>
      </c>
      <c r="F43" s="15">
        <v>3756.0430000000001</v>
      </c>
    </row>
    <row r="44" spans="1:6">
      <c r="A44" s="7">
        <v>40</v>
      </c>
      <c r="B44" s="8">
        <v>0.40625</v>
      </c>
      <c r="C44" s="8">
        <v>0.41666666666666702</v>
      </c>
      <c r="D44" s="15">
        <f t="shared" si="0"/>
        <v>3647.913</v>
      </c>
      <c r="E44" s="9">
        <v>0</v>
      </c>
      <c r="F44" s="15">
        <v>3647.913</v>
      </c>
    </row>
    <row r="45" spans="1:6">
      <c r="A45" s="7">
        <v>41</v>
      </c>
      <c r="B45" s="8">
        <v>0.41666666666666702</v>
      </c>
      <c r="C45" s="8">
        <v>0.42708333333333398</v>
      </c>
      <c r="D45" s="15">
        <f t="shared" si="0"/>
        <v>3681.335</v>
      </c>
      <c r="E45" s="9">
        <v>0</v>
      </c>
      <c r="F45" s="15">
        <v>3681.335</v>
      </c>
    </row>
    <row r="46" spans="1:6" s="2" customFormat="1">
      <c r="A46" s="7">
        <v>42</v>
      </c>
      <c r="B46" s="8">
        <v>0.42708333333333298</v>
      </c>
      <c r="C46" s="8">
        <v>0.4375</v>
      </c>
      <c r="D46" s="15">
        <f t="shared" si="0"/>
        <v>3704.9270000000001</v>
      </c>
      <c r="E46" s="9">
        <v>0</v>
      </c>
      <c r="F46" s="15">
        <v>3704.9270000000001</v>
      </c>
    </row>
    <row r="47" spans="1:6">
      <c r="A47" s="7">
        <v>43</v>
      </c>
      <c r="B47" s="8">
        <v>0.4375</v>
      </c>
      <c r="C47" s="8">
        <v>0.44791666666666702</v>
      </c>
      <c r="D47" s="15">
        <f t="shared" si="0"/>
        <v>3639.0659999999998</v>
      </c>
      <c r="E47" s="9">
        <v>0</v>
      </c>
      <c r="F47" s="15">
        <v>3639.0659999999998</v>
      </c>
    </row>
    <row r="48" spans="1:6" s="14" customFormat="1">
      <c r="A48" s="10">
        <v>44</v>
      </c>
      <c r="B48" s="11">
        <v>0.44791666666666702</v>
      </c>
      <c r="C48" s="11">
        <v>0.45833333333333398</v>
      </c>
      <c r="D48" s="15">
        <f t="shared" si="0"/>
        <v>3345.1489999999999</v>
      </c>
      <c r="E48" s="12">
        <v>0</v>
      </c>
      <c r="F48" s="15">
        <v>3345.1489999999999</v>
      </c>
    </row>
    <row r="49" spans="1:6">
      <c r="A49" s="7">
        <v>45</v>
      </c>
      <c r="B49" s="8">
        <v>0.45833333333333298</v>
      </c>
      <c r="C49" s="8">
        <v>0.46875</v>
      </c>
      <c r="D49" s="15">
        <f t="shared" si="0"/>
        <v>3372.6729999999998</v>
      </c>
      <c r="E49" s="9">
        <v>0</v>
      </c>
      <c r="F49" s="15">
        <v>3372.6729999999998</v>
      </c>
    </row>
    <row r="50" spans="1:6">
      <c r="A50" s="7">
        <v>46</v>
      </c>
      <c r="B50" s="8">
        <v>0.46875</v>
      </c>
      <c r="C50" s="8">
        <v>0.47916666666666702</v>
      </c>
      <c r="D50" s="15">
        <f t="shared" si="0"/>
        <v>3492.5990000000002</v>
      </c>
      <c r="E50" s="9">
        <v>0</v>
      </c>
      <c r="F50" s="15">
        <v>3492.5990000000002</v>
      </c>
    </row>
    <row r="51" spans="1:6">
      <c r="A51" s="7">
        <v>47</v>
      </c>
      <c r="B51" s="8">
        <v>0.47916666666666702</v>
      </c>
      <c r="C51" s="8">
        <v>0.48958333333333398</v>
      </c>
      <c r="D51" s="15">
        <f t="shared" si="0"/>
        <v>3433.6190000000001</v>
      </c>
      <c r="E51" s="9">
        <v>0</v>
      </c>
      <c r="F51" s="15">
        <v>3433.6190000000001</v>
      </c>
    </row>
    <row r="52" spans="1:6">
      <c r="A52" s="7">
        <v>48</v>
      </c>
      <c r="B52" s="8">
        <v>0.48958333333333298</v>
      </c>
      <c r="C52" s="8">
        <v>0.5</v>
      </c>
      <c r="D52" s="15">
        <f t="shared" si="0"/>
        <v>3215.393</v>
      </c>
      <c r="E52" s="9">
        <v>0</v>
      </c>
      <c r="F52" s="15">
        <v>3215.393</v>
      </c>
    </row>
    <row r="53" spans="1:6">
      <c r="A53" s="7">
        <v>49</v>
      </c>
      <c r="B53" s="8">
        <v>0.5</v>
      </c>
      <c r="C53" s="8">
        <v>0.51041666666666696</v>
      </c>
      <c r="D53" s="15">
        <f t="shared" si="0"/>
        <v>3239.9679999999998</v>
      </c>
      <c r="E53" s="9">
        <v>0</v>
      </c>
      <c r="F53" s="15">
        <v>3239.9679999999998</v>
      </c>
    </row>
    <row r="54" spans="1:6">
      <c r="A54" s="7">
        <v>50</v>
      </c>
      <c r="B54" s="8">
        <v>0.51041666666666696</v>
      </c>
      <c r="C54" s="8">
        <v>0.52083333333333404</v>
      </c>
      <c r="D54" s="15">
        <f t="shared" si="0"/>
        <v>3230.1379999999999</v>
      </c>
      <c r="E54" s="9">
        <v>0</v>
      </c>
      <c r="F54" s="15">
        <v>3230.1379999999999</v>
      </c>
    </row>
    <row r="55" spans="1:6">
      <c r="A55" s="7">
        <v>51</v>
      </c>
      <c r="B55" s="8">
        <v>0.52083333333333304</v>
      </c>
      <c r="C55" s="8">
        <v>0.53125</v>
      </c>
      <c r="D55" s="15">
        <f t="shared" si="0"/>
        <v>3169.192</v>
      </c>
      <c r="E55" s="9">
        <v>0</v>
      </c>
      <c r="F55" s="15">
        <v>3169.192</v>
      </c>
    </row>
    <row r="56" spans="1:6">
      <c r="A56" s="7">
        <v>52</v>
      </c>
      <c r="B56" s="8">
        <v>0.53125</v>
      </c>
      <c r="C56" s="8">
        <v>0.54166666666666696</v>
      </c>
      <c r="D56" s="15">
        <f t="shared" si="0"/>
        <v>3095.4670000000001</v>
      </c>
      <c r="E56" s="9">
        <v>0</v>
      </c>
      <c r="F56" s="15">
        <v>3095.4670000000001</v>
      </c>
    </row>
    <row r="57" spans="1:6">
      <c r="A57" s="7">
        <v>53</v>
      </c>
      <c r="B57" s="8">
        <v>0.54166666666666696</v>
      </c>
      <c r="C57" s="8">
        <v>0.55208333333333404</v>
      </c>
      <c r="D57" s="15">
        <f t="shared" si="0"/>
        <v>3039.4360000000001</v>
      </c>
      <c r="E57" s="9">
        <v>0</v>
      </c>
      <c r="F57" s="15">
        <v>3039.4360000000001</v>
      </c>
    </row>
    <row r="58" spans="1:6">
      <c r="A58" s="7">
        <v>54</v>
      </c>
      <c r="B58" s="8">
        <v>0.55208333333333304</v>
      </c>
      <c r="C58" s="8">
        <v>0.5625</v>
      </c>
      <c r="D58" s="15">
        <f t="shared" si="0"/>
        <v>3122.0079999999998</v>
      </c>
      <c r="E58" s="9">
        <v>0</v>
      </c>
      <c r="F58" s="15">
        <v>3122.0079999999998</v>
      </c>
    </row>
    <row r="59" spans="1:6">
      <c r="A59" s="7">
        <v>55</v>
      </c>
      <c r="B59" s="8">
        <v>0.5625</v>
      </c>
      <c r="C59" s="8">
        <v>0.57291666666666696</v>
      </c>
      <c r="D59" s="15">
        <f t="shared" si="0"/>
        <v>3142.6509999999998</v>
      </c>
      <c r="E59" s="9">
        <v>0</v>
      </c>
      <c r="F59" s="15">
        <v>3142.6509999999998</v>
      </c>
    </row>
    <row r="60" spans="1:6">
      <c r="A60" s="7">
        <v>56</v>
      </c>
      <c r="B60" s="8">
        <v>0.57291666666666696</v>
      </c>
      <c r="C60" s="8">
        <v>0.58333333333333404</v>
      </c>
      <c r="D60" s="15">
        <f t="shared" si="0"/>
        <v>3090.5520000000001</v>
      </c>
      <c r="E60" s="9">
        <v>0</v>
      </c>
      <c r="F60" s="15">
        <v>3090.5520000000001</v>
      </c>
    </row>
    <row r="61" spans="1:6">
      <c r="A61" s="7">
        <v>57</v>
      </c>
      <c r="B61" s="8">
        <v>0.58333333333333304</v>
      </c>
      <c r="C61" s="8">
        <v>0.59375</v>
      </c>
      <c r="D61" s="15">
        <f t="shared" si="0"/>
        <v>3114.1439999999998</v>
      </c>
      <c r="E61" s="9">
        <v>0</v>
      </c>
      <c r="F61" s="15">
        <v>3114.1439999999998</v>
      </c>
    </row>
    <row r="62" spans="1:6">
      <c r="A62" s="7">
        <v>58</v>
      </c>
      <c r="B62" s="8">
        <v>0.59375</v>
      </c>
      <c r="C62" s="8">
        <v>0.60416666666666696</v>
      </c>
      <c r="D62" s="15">
        <f t="shared" si="0"/>
        <v>3162.3110000000001</v>
      </c>
      <c r="E62" s="9">
        <v>0</v>
      </c>
      <c r="F62" s="15">
        <v>3162.3110000000001</v>
      </c>
    </row>
    <row r="63" spans="1:6">
      <c r="A63" s="7">
        <v>59</v>
      </c>
      <c r="B63" s="8">
        <v>0.60416666666666696</v>
      </c>
      <c r="C63" s="8">
        <v>0.61458333333333404</v>
      </c>
      <c r="D63" s="15">
        <f t="shared" si="0"/>
        <v>3167.2260000000001</v>
      </c>
      <c r="E63" s="9">
        <v>0</v>
      </c>
      <c r="F63" s="15">
        <v>3167.2260000000001</v>
      </c>
    </row>
    <row r="64" spans="1:6">
      <c r="A64" s="7">
        <v>60</v>
      </c>
      <c r="B64" s="8">
        <v>0.61458333333333304</v>
      </c>
      <c r="C64" s="8">
        <v>0.625</v>
      </c>
      <c r="D64" s="15">
        <f t="shared" si="0"/>
        <v>3201.6309999999999</v>
      </c>
      <c r="E64" s="9">
        <v>0</v>
      </c>
      <c r="F64" s="15">
        <v>3201.6309999999999</v>
      </c>
    </row>
    <row r="65" spans="1:6">
      <c r="A65" s="7">
        <v>61</v>
      </c>
      <c r="B65" s="8">
        <v>0.625</v>
      </c>
      <c r="C65" s="8">
        <v>0.63541666666666696</v>
      </c>
      <c r="D65" s="15">
        <f t="shared" si="0"/>
        <v>3237.0189999999998</v>
      </c>
      <c r="E65" s="9">
        <v>0</v>
      </c>
      <c r="F65" s="15">
        <v>3237.0189999999998</v>
      </c>
    </row>
    <row r="66" spans="1:6">
      <c r="A66" s="7">
        <v>62</v>
      </c>
      <c r="B66" s="8">
        <v>0.63541666666666696</v>
      </c>
      <c r="C66" s="8">
        <v>0.64583333333333404</v>
      </c>
      <c r="D66" s="15">
        <f t="shared" si="0"/>
        <v>3328.4380000000001</v>
      </c>
      <c r="E66" s="9">
        <v>0</v>
      </c>
      <c r="F66" s="15">
        <v>3328.4380000000001</v>
      </c>
    </row>
    <row r="67" spans="1:6" s="2" customFormat="1" ht="17.45" customHeight="1">
      <c r="A67" s="7">
        <v>63</v>
      </c>
      <c r="B67" s="8">
        <v>0.64583333333333304</v>
      </c>
      <c r="C67" s="8">
        <v>0.65625</v>
      </c>
      <c r="D67" s="15">
        <f t="shared" si="0"/>
        <v>3357.9279999999999</v>
      </c>
      <c r="E67" s="9">
        <v>0</v>
      </c>
      <c r="F67" s="15">
        <v>3357.9279999999999</v>
      </c>
    </row>
    <row r="68" spans="1:6" s="2" customFormat="1">
      <c r="A68" s="7">
        <v>64</v>
      </c>
      <c r="B68" s="8">
        <v>0.65625</v>
      </c>
      <c r="C68" s="8">
        <v>0.66666666666666696</v>
      </c>
      <c r="D68" s="15">
        <f t="shared" si="0"/>
        <v>3253.73</v>
      </c>
      <c r="E68" s="9">
        <v>0</v>
      </c>
      <c r="F68" s="15">
        <v>3253.73</v>
      </c>
    </row>
    <row r="69" spans="1:6">
      <c r="A69" s="7">
        <v>65</v>
      </c>
      <c r="B69" s="8">
        <v>0.66666666666666696</v>
      </c>
      <c r="C69" s="8">
        <v>0.67708333333333404</v>
      </c>
      <c r="D69" s="15">
        <f t="shared" si="0"/>
        <v>3282.2370000000001</v>
      </c>
      <c r="E69" s="9">
        <v>0</v>
      </c>
      <c r="F69" s="15">
        <v>3282.2370000000001</v>
      </c>
    </row>
    <row r="70" spans="1:6">
      <c r="A70" s="7">
        <v>66</v>
      </c>
      <c r="B70" s="8">
        <v>0.67708333333333304</v>
      </c>
      <c r="C70" s="8">
        <v>0.6875</v>
      </c>
      <c r="D70" s="15">
        <f t="shared" ref="D70:D100" si="1">F70</f>
        <v>3301.8969999999999</v>
      </c>
      <c r="E70" s="9">
        <v>0</v>
      </c>
      <c r="F70" s="15">
        <v>3301.8969999999999</v>
      </c>
    </row>
    <row r="71" spans="1:6" s="2" customFormat="1">
      <c r="A71" s="7">
        <v>67</v>
      </c>
      <c r="B71" s="8">
        <v>0.6875</v>
      </c>
      <c r="C71" s="8">
        <v>0.69791666666666696</v>
      </c>
      <c r="D71" s="15">
        <f t="shared" si="1"/>
        <v>3350.0639999999999</v>
      </c>
      <c r="E71" s="9">
        <v>0</v>
      </c>
      <c r="F71" s="15">
        <v>3350.0639999999999</v>
      </c>
    </row>
    <row r="72" spans="1:6">
      <c r="A72" s="7">
        <v>68</v>
      </c>
      <c r="B72" s="8">
        <v>0.69791666666666696</v>
      </c>
      <c r="C72" s="8">
        <v>0.70833333333333404</v>
      </c>
      <c r="D72" s="15">
        <f t="shared" si="1"/>
        <v>3102.348</v>
      </c>
      <c r="E72" s="9">
        <v>0</v>
      </c>
      <c r="F72" s="15">
        <v>3102.348</v>
      </c>
    </row>
    <row r="73" spans="1:6">
      <c r="A73" s="7">
        <v>69</v>
      </c>
      <c r="B73" s="8">
        <v>0.70833333333333304</v>
      </c>
      <c r="C73" s="8">
        <v>0.71875</v>
      </c>
      <c r="D73" s="15">
        <f t="shared" si="1"/>
        <v>3144.6169999999997</v>
      </c>
      <c r="E73" s="9">
        <v>0</v>
      </c>
      <c r="F73" s="15">
        <v>3144.6169999999997</v>
      </c>
    </row>
    <row r="74" spans="1:6">
      <c r="A74" s="7">
        <v>70</v>
      </c>
      <c r="B74" s="8">
        <v>0.71875</v>
      </c>
      <c r="C74" s="8">
        <v>0.72916666666666696</v>
      </c>
      <c r="D74" s="15">
        <f t="shared" si="1"/>
        <v>3194.75</v>
      </c>
      <c r="E74" s="9">
        <v>0</v>
      </c>
      <c r="F74" s="15">
        <v>3194.75</v>
      </c>
    </row>
    <row r="75" spans="1:6">
      <c r="A75" s="7">
        <v>71</v>
      </c>
      <c r="B75" s="8">
        <v>0.72916666666666696</v>
      </c>
      <c r="C75" s="8">
        <v>0.73958333333333404</v>
      </c>
      <c r="D75" s="15">
        <f t="shared" si="1"/>
        <v>3257.6619999999998</v>
      </c>
      <c r="E75" s="9">
        <v>0</v>
      </c>
      <c r="F75" s="15">
        <v>3257.6619999999998</v>
      </c>
    </row>
    <row r="76" spans="1:6" s="2" customFormat="1">
      <c r="A76" s="7">
        <v>72</v>
      </c>
      <c r="B76" s="8">
        <v>0.73958333333333304</v>
      </c>
      <c r="C76" s="8">
        <v>0.75</v>
      </c>
      <c r="D76" s="15">
        <f t="shared" si="1"/>
        <v>3216.3759999999997</v>
      </c>
      <c r="E76" s="9">
        <v>0</v>
      </c>
      <c r="F76" s="15">
        <v>3216.3759999999997</v>
      </c>
    </row>
    <row r="77" spans="1:6">
      <c r="A77" s="7">
        <v>73</v>
      </c>
      <c r="B77" s="8">
        <v>0.75</v>
      </c>
      <c r="C77" s="8">
        <v>0.76041666666666696</v>
      </c>
      <c r="D77" s="15">
        <f t="shared" si="1"/>
        <v>3277.3220000000001</v>
      </c>
      <c r="E77" s="9">
        <v>0</v>
      </c>
      <c r="F77" s="15">
        <v>3277.3220000000001</v>
      </c>
    </row>
    <row r="78" spans="1:6">
      <c r="A78" s="7">
        <v>74</v>
      </c>
      <c r="B78" s="8">
        <v>0.76041666666666696</v>
      </c>
      <c r="C78" s="8">
        <v>0.77083333333333404</v>
      </c>
      <c r="D78" s="15">
        <f t="shared" si="1"/>
        <v>3420.84</v>
      </c>
      <c r="E78" s="9">
        <v>0</v>
      </c>
      <c r="F78" s="15">
        <v>3420.84</v>
      </c>
    </row>
    <row r="79" spans="1:6" ht="15" customHeight="1">
      <c r="A79" s="7">
        <v>75</v>
      </c>
      <c r="B79" s="8">
        <v>0.77083333333333304</v>
      </c>
      <c r="C79" s="8">
        <v>0.78125</v>
      </c>
      <c r="D79" s="15">
        <f t="shared" si="1"/>
        <v>3582.0520000000001</v>
      </c>
      <c r="E79" s="9">
        <v>0</v>
      </c>
      <c r="F79" s="15">
        <v>3582.0520000000001</v>
      </c>
    </row>
    <row r="80" spans="1:6">
      <c r="A80" s="7">
        <v>76</v>
      </c>
      <c r="B80" s="8">
        <v>0.78125</v>
      </c>
      <c r="C80" s="8">
        <v>0.79166666666666696</v>
      </c>
      <c r="D80" s="15">
        <f t="shared" si="1"/>
        <v>3683.3009999999999</v>
      </c>
      <c r="E80" s="9">
        <v>0</v>
      </c>
      <c r="F80" s="15">
        <v>3683.3009999999999</v>
      </c>
    </row>
    <row r="81" spans="1:6">
      <c r="A81" s="7">
        <v>77</v>
      </c>
      <c r="B81" s="8">
        <v>0.79166666666666696</v>
      </c>
      <c r="C81" s="8">
        <v>0.80208333333333404</v>
      </c>
      <c r="D81" s="15">
        <f t="shared" si="1"/>
        <v>3779.6349999999998</v>
      </c>
      <c r="E81" s="9">
        <v>0</v>
      </c>
      <c r="F81" s="15">
        <v>3779.6349999999998</v>
      </c>
    </row>
    <row r="82" spans="1:6">
      <c r="A82" s="7">
        <v>78</v>
      </c>
      <c r="B82" s="8">
        <v>0.80208333333333304</v>
      </c>
      <c r="C82" s="8">
        <v>0.8125</v>
      </c>
      <c r="D82" s="15">
        <f t="shared" si="1"/>
        <v>3798.3119999999999</v>
      </c>
      <c r="E82" s="9">
        <v>0</v>
      </c>
      <c r="F82" s="15">
        <v>3798.3119999999999</v>
      </c>
    </row>
    <row r="83" spans="1:6">
      <c r="A83" s="7">
        <v>79</v>
      </c>
      <c r="B83" s="8">
        <v>0.8125</v>
      </c>
      <c r="C83" s="8">
        <v>0.82291666666666696</v>
      </c>
      <c r="D83" s="15">
        <f t="shared" si="1"/>
        <v>3857.2919999999999</v>
      </c>
      <c r="E83" s="9">
        <v>0</v>
      </c>
      <c r="F83" s="15">
        <v>3857.2919999999999</v>
      </c>
    </row>
    <row r="84" spans="1:6">
      <c r="A84" s="7">
        <v>80</v>
      </c>
      <c r="B84" s="8">
        <v>0.82291666666666696</v>
      </c>
      <c r="C84" s="8">
        <v>0.83333333333333404</v>
      </c>
      <c r="D84" s="15">
        <f t="shared" si="1"/>
        <v>3818.9549999999999</v>
      </c>
      <c r="E84" s="9">
        <v>0</v>
      </c>
      <c r="F84" s="15">
        <v>3818.9549999999999</v>
      </c>
    </row>
    <row r="85" spans="1:6">
      <c r="A85" s="7">
        <v>81</v>
      </c>
      <c r="B85" s="8">
        <v>0.83333333333333304</v>
      </c>
      <c r="C85" s="8">
        <v>0.84375</v>
      </c>
      <c r="D85" s="15">
        <f t="shared" si="1"/>
        <v>3741.2979999999998</v>
      </c>
      <c r="E85" s="9">
        <v>0</v>
      </c>
      <c r="F85" s="15">
        <v>3741.2979999999998</v>
      </c>
    </row>
    <row r="86" spans="1:6">
      <c r="A86" s="7">
        <v>82</v>
      </c>
      <c r="B86" s="8">
        <v>0.84375</v>
      </c>
      <c r="C86" s="8">
        <v>0.85416666666666696</v>
      </c>
      <c r="D86" s="15">
        <f t="shared" si="1"/>
        <v>3704.9270000000001</v>
      </c>
      <c r="E86" s="9">
        <v>0</v>
      </c>
      <c r="F86" s="15">
        <v>3704.9270000000001</v>
      </c>
    </row>
    <row r="87" spans="1:6">
      <c r="A87" s="7">
        <v>83</v>
      </c>
      <c r="B87" s="8">
        <v>0.85416666666666696</v>
      </c>
      <c r="C87" s="8">
        <v>0.86458333333333404</v>
      </c>
      <c r="D87" s="15">
        <f t="shared" si="1"/>
        <v>3700.0119999999997</v>
      </c>
      <c r="E87" s="9">
        <v>0</v>
      </c>
      <c r="F87" s="15">
        <v>3700.0119999999997</v>
      </c>
    </row>
    <row r="88" spans="1:6">
      <c r="A88" s="7">
        <v>84</v>
      </c>
      <c r="B88" s="8">
        <v>0.86458333333333304</v>
      </c>
      <c r="C88" s="8">
        <v>0.875</v>
      </c>
      <c r="D88" s="15">
        <f t="shared" si="1"/>
        <v>3686.25</v>
      </c>
      <c r="E88" s="9">
        <v>0</v>
      </c>
      <c r="F88" s="15">
        <v>3686.25</v>
      </c>
    </row>
    <row r="89" spans="1:6">
      <c r="A89" s="7">
        <v>85</v>
      </c>
      <c r="B89" s="8">
        <v>0.875</v>
      </c>
      <c r="C89" s="8">
        <v>0.88541666666666696</v>
      </c>
      <c r="D89" s="15">
        <f t="shared" si="1"/>
        <v>3852.377</v>
      </c>
      <c r="E89" s="9">
        <v>0</v>
      </c>
      <c r="F89" s="15">
        <v>3852.377</v>
      </c>
    </row>
    <row r="90" spans="1:6">
      <c r="A90" s="7">
        <v>86</v>
      </c>
      <c r="B90" s="8">
        <v>0.88541666666666696</v>
      </c>
      <c r="C90" s="8">
        <v>0.89583333333333404</v>
      </c>
      <c r="D90" s="15">
        <f t="shared" si="1"/>
        <v>3907.4249999999997</v>
      </c>
      <c r="E90" s="9">
        <v>0</v>
      </c>
      <c r="F90" s="15">
        <v>3907.4249999999997</v>
      </c>
    </row>
    <row r="91" spans="1:6">
      <c r="A91" s="7">
        <v>87</v>
      </c>
      <c r="B91" s="8">
        <v>0.89583333333333304</v>
      </c>
      <c r="C91" s="8">
        <v>0.90625</v>
      </c>
      <c r="D91" s="15">
        <f t="shared" si="1"/>
        <v>3885.799</v>
      </c>
      <c r="E91" s="9">
        <v>0</v>
      </c>
      <c r="F91" s="15">
        <v>3885.799</v>
      </c>
    </row>
    <row r="92" spans="1:6">
      <c r="A92" s="7">
        <v>88</v>
      </c>
      <c r="B92" s="8">
        <v>0.90625</v>
      </c>
      <c r="C92" s="8">
        <v>0.91666666666666696</v>
      </c>
      <c r="D92" s="15">
        <f t="shared" si="1"/>
        <v>3867.1219999999998</v>
      </c>
      <c r="E92" s="9">
        <v>0</v>
      </c>
      <c r="F92" s="15">
        <v>3867.1219999999998</v>
      </c>
    </row>
    <row r="93" spans="1:6">
      <c r="A93" s="7">
        <v>89</v>
      </c>
      <c r="B93" s="8">
        <v>0.91666666666666696</v>
      </c>
      <c r="C93" s="8">
        <v>0.92708333333333404</v>
      </c>
      <c r="D93" s="15">
        <f t="shared" si="1"/>
        <v>4058.8069999999998</v>
      </c>
      <c r="E93" s="9">
        <v>0</v>
      </c>
      <c r="F93" s="15">
        <v>4058.8069999999998</v>
      </c>
    </row>
    <row r="94" spans="1:6">
      <c r="A94" s="7">
        <v>90</v>
      </c>
      <c r="B94" s="8">
        <v>0.92708333333333304</v>
      </c>
      <c r="C94" s="8">
        <v>0.9375</v>
      </c>
      <c r="D94" s="15">
        <f t="shared" si="1"/>
        <v>4138.43</v>
      </c>
      <c r="E94" s="9">
        <v>0</v>
      </c>
      <c r="F94" s="15">
        <v>4138.43</v>
      </c>
    </row>
    <row r="95" spans="1:6">
      <c r="A95" s="7">
        <v>91</v>
      </c>
      <c r="B95" s="8">
        <v>0.9375</v>
      </c>
      <c r="C95" s="8">
        <v>0.94791666666666696</v>
      </c>
      <c r="D95" s="15">
        <f t="shared" si="1"/>
        <v>4154.1580000000004</v>
      </c>
      <c r="E95" s="9">
        <v>0</v>
      </c>
      <c r="F95" s="15">
        <v>4154.1580000000004</v>
      </c>
    </row>
    <row r="96" spans="1:6">
      <c r="A96" s="7">
        <v>92</v>
      </c>
      <c r="B96" s="8">
        <v>0.94791666666666696</v>
      </c>
      <c r="C96" s="8">
        <v>0.95833333333333404</v>
      </c>
      <c r="D96" s="15">
        <f t="shared" si="1"/>
        <v>4168.9030000000002</v>
      </c>
      <c r="E96" s="9">
        <v>0</v>
      </c>
      <c r="F96" s="15">
        <v>4168.9030000000002</v>
      </c>
    </row>
    <row r="97" spans="1:6">
      <c r="A97" s="7">
        <v>93</v>
      </c>
      <c r="B97" s="8">
        <v>0.95833333333333304</v>
      </c>
      <c r="C97" s="8">
        <v>0.96875</v>
      </c>
      <c r="D97" s="15">
        <f t="shared" si="1"/>
        <v>4156.1239999999998</v>
      </c>
      <c r="E97" s="9">
        <v>0</v>
      </c>
      <c r="F97" s="15">
        <v>4156.1239999999998</v>
      </c>
    </row>
    <row r="98" spans="1:6">
      <c r="A98" s="7">
        <v>94</v>
      </c>
      <c r="B98" s="8">
        <v>0.96875</v>
      </c>
      <c r="C98" s="8">
        <v>0.97916666666666696</v>
      </c>
      <c r="D98" s="15">
        <f t="shared" si="1"/>
        <v>4117.7870000000003</v>
      </c>
      <c r="E98" s="9">
        <v>0</v>
      </c>
      <c r="F98" s="15">
        <v>4117.7870000000003</v>
      </c>
    </row>
    <row r="99" spans="1:6">
      <c r="A99" s="7">
        <v>95</v>
      </c>
      <c r="B99" s="8">
        <v>0.97916666666666696</v>
      </c>
      <c r="C99" s="8">
        <v>0.98958333333333404</v>
      </c>
      <c r="D99" s="15">
        <f t="shared" si="1"/>
        <v>4141.3789999999999</v>
      </c>
      <c r="E99" s="9">
        <v>0</v>
      </c>
      <c r="F99" s="15">
        <v>4141.3789999999999</v>
      </c>
    </row>
    <row r="100" spans="1:6">
      <c r="A100" s="7">
        <v>96</v>
      </c>
      <c r="B100" s="8">
        <v>0.98958333333333304</v>
      </c>
      <c r="C100" s="8">
        <v>24</v>
      </c>
      <c r="D100" s="15">
        <f t="shared" si="1"/>
        <v>4091.2460000000001</v>
      </c>
      <c r="E100" s="9">
        <v>0</v>
      </c>
      <c r="F100" s="15">
        <v>4091.2460000000001</v>
      </c>
    </row>
    <row r="101" spans="1:6" ht="18.75">
      <c r="A101" s="31" t="s">
        <v>9</v>
      </c>
      <c r="B101" s="32"/>
      <c r="C101" s="32"/>
      <c r="D101" s="3">
        <f>AVERAGE(D5:D100)</f>
        <v>3666.7333541666667</v>
      </c>
      <c r="E101" s="4">
        <v>0</v>
      </c>
      <c r="F101" s="16">
        <f t="shared" ref="F101" si="2">AVERAGE(F5:F100)</f>
        <v>3666.7333541666667</v>
      </c>
    </row>
    <row r="102" spans="1:6" s="1" customFormat="1" ht="18.75">
      <c r="A102" s="21" t="s">
        <v>10</v>
      </c>
      <c r="B102" s="22"/>
      <c r="C102" s="23"/>
      <c r="D102" s="5">
        <f>D101*0.24</f>
        <v>880.01600499999995</v>
      </c>
      <c r="E102" s="4">
        <v>0</v>
      </c>
      <c r="F102" s="5">
        <f>F101*0.24</f>
        <v>880.01600499999995</v>
      </c>
    </row>
    <row r="103" spans="1:6">
      <c r="A103" s="26" t="s">
        <v>11</v>
      </c>
      <c r="B103" s="27" t="s">
        <v>12</v>
      </c>
      <c r="C103" s="25"/>
      <c r="D103" s="25"/>
      <c r="E103" s="25"/>
      <c r="F103" s="25"/>
    </row>
    <row r="104" spans="1:6">
      <c r="A104" s="25"/>
      <c r="B104" s="25"/>
      <c r="C104" s="25"/>
      <c r="D104" s="25"/>
      <c r="E104" s="25"/>
      <c r="F104" s="25"/>
    </row>
  </sheetData>
  <mergeCells count="12">
    <mergeCell ref="A1:F1"/>
    <mergeCell ref="A2:D2"/>
    <mergeCell ref="E2:F2"/>
    <mergeCell ref="B3:C3"/>
    <mergeCell ref="A101:C101"/>
    <mergeCell ref="F3:F4"/>
    <mergeCell ref="A102:C102"/>
    <mergeCell ref="A3:A4"/>
    <mergeCell ref="A103:A104"/>
    <mergeCell ref="D3:D4"/>
    <mergeCell ref="E3:E4"/>
    <mergeCell ref="B103:F10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MPEZ</dc:creator>
  <cp:lastModifiedBy>hp</cp:lastModifiedBy>
  <dcterms:created xsi:type="dcterms:W3CDTF">2006-09-16T00:00:00Z</dcterms:created>
  <dcterms:modified xsi:type="dcterms:W3CDTF">2026-04-13T05:49:36Z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AF1F49DA96734A3F92273415CEA52696_12</vt:lpwstr>
  </property>
  <property fmtid="{D5CDD505-2E9C-101B-9397-08002B2CF9AE}" pid="3" name="KSOProductBuildVer">
    <vt:lpwstr>1033-12.2.0.23131</vt:lpwstr>
  </property>
</Properties>
</file>